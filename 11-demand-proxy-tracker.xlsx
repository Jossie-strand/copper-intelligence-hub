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and Proxy" sheetId="1" state="visible" r:id="rId3"/>
    <sheet name="IEA-BNEF Foreca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<sst xmlns="http://schemas.openxmlformats.org/spreadsheetml/2006/main" count="23" uniqueCount="22">
  <si>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Real-Time Copper Demand Proxy Composite</t>
  </si>
  <si>
    <t xml:space="preserve">Track monthly: China grid investment (SGCC/NEA) + EV sales (CAAM) + NBS PMI construction sub-index + IEA/BNEF annual forecasts</t>
  </si>
  <si>
    <t xml:space="preserve">Month</t>
  </si>
  <si>
    <t xml:space="preserve">China Grid Capex (RMB bn)</t>
  </si>
  <si>
    <t xml:space="preserve">Grid YoY %</t>
  </si>
  <si>
    <t xml:space="preserve">EV Sales (k units)</t>
  </si>
  <si>
    <t xml:space="preserve">EV YoY %</t>
  </si>
  <si>
    <t xml:space="preserve">NBS PMI Construct.</t>
  </si>
  <si>
    <t xml:space="preserve">NBS PMI YoY chg</t>
  </si>
  <si>
    <t xml:space="preserve">Bonded WHse (t)</t>
  </si>
  <si>
    <t xml:space="preserve">LME Price ($)</t>
  </si>
  <si>
    <t xml:space="preserve">Composite Demand Score</t>
  </si>
  <si>
    <t xml:space="preserve">Signal</t>
  </si>
  <si>
    <t xml:space="preserve">IEA/BNEF Note</t>
  </si>
  <si>
    <t xml:space="preserve">Source</t>
  </si>
  <si>
    <t xml:space="preserve">Grid capex: NEA monthly stats / SGCC press releases | EV sales: CAAM monthly | PMI: NBS China monthly | Bonded WHse: SMM (partial free) | IEA annual: iea.org/critical-minerals</t>
  </si>
  <si>
    <t xml:space="preserve">Annual Copper Demand Forecasts — IEA / BNEF / CRU Public Summaries</t>
  </si>
  <si>
    <t xml:space="preserve">Pub. Year</t>
  </si>
  <si>
    <t xml:space="preserve">Year Forecast</t>
  </si>
  <si>
    <t xml:space="preserve">Demand (kt)</t>
  </si>
  <si>
    <t xml:space="preserve">Key Assumption</t>
  </si>
  <si>
    <t xml:space="preserve">Link / Notes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</si>
</sst>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yy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6.5" hidden="false" customHeight="true" outlineLevel="0" collapsed="false">
      <c r="A4" s="4"/>
      <c r="B4" s="5"/>
      <c r="C4" s="6"/>
      <c r="D4" s="5"/>
      <c r="E4" s="6"/>
      <c r="F4" s="5"/>
      <c r="G4" s="7"/>
      <c r="H4" s="5"/>
      <c r="I4" s="5"/>
      <c r="J4" s="5"/>
      <c r="K4" s="5"/>
      <c r="L4" s="5"/>
      <c r="M4" s="8"/>
    </row>
    <row r="5" customFormat="false" ht="16.5" hidden="false" customHeight="true" outlineLevel="0" collapsed="false">
      <c r="A5" s="9"/>
      <c r="B5" s="10"/>
      <c r="C5" s="11"/>
      <c r="D5" s="10"/>
      <c r="E5" s="11"/>
      <c r="F5" s="10"/>
      <c r="G5" s="12"/>
      <c r="H5" s="10"/>
      <c r="I5" s="10"/>
      <c r="J5" s="10"/>
      <c r="K5" s="10"/>
      <c r="L5" s="10"/>
      <c r="M5" s="13"/>
    </row>
    <row r="6" customFormat="false" ht="16.5" hidden="false" customHeight="true" outlineLevel="0" collapsed="false">
      <c r="A6" s="4"/>
      <c r="B6" s="5"/>
      <c r="C6" s="6"/>
      <c r="D6" s="5"/>
      <c r="E6" s="6"/>
      <c r="F6" s="5"/>
      <c r="G6" s="7"/>
      <c r="H6" s="5"/>
      <c r="I6" s="5"/>
      <c r="J6" s="5"/>
      <c r="K6" s="5"/>
      <c r="L6" s="5"/>
      <c r="M6" s="8"/>
    </row>
    <row r="7" customFormat="false" ht="16.5" hidden="false" customHeight="true" outlineLevel="0" collapsed="false">
      <c r="A7" s="9"/>
      <c r="B7" s="10"/>
      <c r="C7" s="11"/>
      <c r="D7" s="10"/>
      <c r="E7" s="11"/>
      <c r="F7" s="10"/>
      <c r="G7" s="12"/>
      <c r="H7" s="10"/>
      <c r="I7" s="10"/>
      <c r="J7" s="10"/>
      <c r="K7" s="10"/>
      <c r="L7" s="10"/>
      <c r="M7" s="13"/>
    </row>
    <row r="8" customFormat="false" ht="16.5" hidden="false" customHeight="true" outlineLevel="0" collapsed="false">
      <c r="A8" s="4"/>
      <c r="B8" s="5"/>
      <c r="C8" s="6"/>
      <c r="D8" s="5"/>
      <c r="E8" s="6"/>
      <c r="F8" s="5"/>
      <c r="G8" s="7"/>
      <c r="H8" s="5"/>
      <c r="I8" s="5"/>
      <c r="J8" s="5"/>
      <c r="K8" s="5"/>
      <c r="L8" s="5"/>
      <c r="M8" s="8"/>
    </row>
    <row r="9" customFormat="false" ht="16.5" hidden="false" customHeight="true" outlineLevel="0" collapsed="false">
      <c r="A9" s="9"/>
      <c r="B9" s="10"/>
      <c r="C9" s="11"/>
      <c r="D9" s="10"/>
      <c r="E9" s="11"/>
      <c r="F9" s="10"/>
      <c r="G9" s="12"/>
      <c r="H9" s="10"/>
      <c r="I9" s="10"/>
      <c r="J9" s="10"/>
      <c r="K9" s="10"/>
      <c r="L9" s="10"/>
      <c r="M9" s="13"/>
    </row>
    <row r="10" customFormat="false" ht="16.5" hidden="false" customHeight="true" outlineLevel="0" collapsed="false">
      <c r="A10" s="4"/>
      <c r="B10" s="5"/>
      <c r="C10" s="6"/>
      <c r="D10" s="5"/>
      <c r="E10" s="6"/>
      <c r="F10" s="5"/>
      <c r="G10" s="7"/>
      <c r="H10" s="5"/>
      <c r="I10" s="5"/>
      <c r="J10" s="5"/>
      <c r="K10" s="5"/>
      <c r="L10" s="5"/>
      <c r="M10" s="8"/>
    </row>
    <row r="11" customFormat="false" ht="16.5" hidden="false" customHeight="true" outlineLevel="0" collapsed="false">
      <c r="A11" s="9"/>
      <c r="B11" s="10"/>
      <c r="C11" s="11"/>
      <c r="D11" s="10"/>
      <c r="E11" s="11"/>
      <c r="F11" s="10"/>
      <c r="G11" s="12"/>
      <c r="H11" s="10"/>
      <c r="I11" s="10"/>
      <c r="J11" s="10"/>
      <c r="K11" s="10"/>
      <c r="L11" s="10"/>
      <c r="M11" s="13"/>
    </row>
    <row r="12" customFormat="false" ht="16.5" hidden="false" customHeight="true" outlineLevel="0" collapsed="false">
      <c r="A12" s="4"/>
      <c r="B12" s="5"/>
      <c r="C12" s="6"/>
      <c r="D12" s="5"/>
      <c r="E12" s="6"/>
      <c r="F12" s="5"/>
      <c r="G12" s="7"/>
      <c r="H12" s="5"/>
      <c r="I12" s="5"/>
      <c r="J12" s="5"/>
      <c r="K12" s="5"/>
      <c r="L12" s="5"/>
      <c r="M12" s="8"/>
    </row>
    <row r="13" customFormat="false" ht="16.5" hidden="false" customHeight="true" outlineLevel="0" collapsed="false">
      <c r="A13" s="9"/>
      <c r="B13" s="10"/>
      <c r="C13" s="11"/>
      <c r="D13" s="10"/>
      <c r="E13" s="11"/>
      <c r="F13" s="10"/>
      <c r="G13" s="12"/>
      <c r="H13" s="10"/>
      <c r="I13" s="10"/>
      <c r="J13" s="10"/>
      <c r="K13" s="10"/>
      <c r="L13" s="10"/>
      <c r="M13" s="13"/>
    </row>
    <row r="14" customFormat="false" ht="16.5" hidden="false" customHeight="true" outlineLevel="0" collapsed="false">
      <c r="A14" s="4"/>
      <c r="B14" s="5"/>
      <c r="C14" s="6"/>
      <c r="D14" s="5"/>
      <c r="E14" s="6"/>
      <c r="F14" s="5"/>
      <c r="G14" s="7"/>
      <c r="H14" s="5"/>
      <c r="I14" s="5"/>
      <c r="J14" s="5"/>
      <c r="K14" s="5"/>
      <c r="L14" s="5"/>
      <c r="M14" s="8"/>
    </row>
    <row r="15" customFormat="false" ht="16.5" hidden="false" customHeight="true" outlineLevel="0" collapsed="false">
      <c r="A15" s="9"/>
      <c r="B15" s="10"/>
      <c r="C15" s="11"/>
      <c r="D15" s="10"/>
      <c r="E15" s="11"/>
      <c r="F15" s="10"/>
      <c r="G15" s="12"/>
      <c r="H15" s="10"/>
      <c r="I15" s="10"/>
      <c r="J15" s="10"/>
      <c r="K15" s="10"/>
      <c r="L15" s="10"/>
      <c r="M15" s="13"/>
    </row>
    <row r="16" customFormat="false" ht="16.5" hidden="false" customHeight="true" outlineLevel="0" collapsed="false">
      <c r="A16" s="4"/>
      <c r="B16" s="5"/>
      <c r="C16" s="6" t="str">
        <f aca="false">IFERROR((B16-B4)/B4,"")</f>
        <v/>
      </c>
      <c r="D16" s="5"/>
      <c r="E16" s="6" t="str">
        <f aca="false">IFERROR((D16-D4)/D4,"")</f>
        <v/>
      </c>
      <c r="F16" s="5"/>
      <c r="G16" s="7" t="n">
        <f aca="false">IFERROR(F16-F4,"")</f>
        <v>0</v>
      </c>
      <c r="H16" s="5"/>
      <c r="I16" s="5"/>
      <c r="J16" s="5"/>
      <c r="K16" s="5"/>
      <c r="L16" s="5"/>
      <c r="M16" s="8"/>
    </row>
    <row r="17" customFormat="false" ht="16.5" hidden="false" customHeight="true" outlineLevel="0" collapsed="false">
      <c r="A17" s="9"/>
      <c r="B17" s="10"/>
      <c r="C17" s="11" t="str">
        <f aca="false">IFERROR((B17-B5)/B5,"")</f>
        <v/>
      </c>
      <c r="D17" s="10"/>
      <c r="E17" s="11" t="str">
        <f aca="false">IFERROR((D17-D5)/D5,"")</f>
        <v/>
      </c>
      <c r="F17" s="10"/>
      <c r="G17" s="12" t="n">
        <f aca="false">IFERROR(F17-F5,"")</f>
        <v>0</v>
      </c>
      <c r="H17" s="10"/>
      <c r="I17" s="10"/>
      <c r="J17" s="10"/>
      <c r="K17" s="10"/>
      <c r="L17" s="10"/>
      <c r="M17" s="13"/>
    </row>
    <row r="18" customFormat="false" ht="16.5" hidden="false" customHeight="true" outlineLevel="0" collapsed="false">
      <c r="A18" s="4"/>
      <c r="B18" s="5"/>
      <c r="C18" s="6" t="str">
        <f aca="false">IFERROR((B18-B6)/B6,"")</f>
        <v/>
      </c>
      <c r="D18" s="5"/>
      <c r="E18" s="6" t="str">
        <f aca="false">IFERROR((D18-D6)/D6,"")</f>
        <v/>
      </c>
      <c r="F18" s="5"/>
      <c r="G18" s="7" t="n">
        <f aca="false">IFERROR(F18-F6,"")</f>
        <v>0</v>
      </c>
      <c r="H18" s="5"/>
      <c r="I18" s="5"/>
      <c r="J18" s="5"/>
      <c r="K18" s="5"/>
      <c r="L18" s="5"/>
      <c r="M18" s="8"/>
    </row>
    <row r="19" customFormat="false" ht="16.5" hidden="false" customHeight="true" outlineLevel="0" collapsed="false">
      <c r="A19" s="9"/>
      <c r="B19" s="10"/>
      <c r="C19" s="11" t="str">
        <f aca="false">IFERROR((B19-B7)/B7,"")</f>
        <v/>
      </c>
      <c r="D19" s="10"/>
      <c r="E19" s="11" t="str">
        <f aca="false">IFERROR((D19-D7)/D7,"")</f>
        <v/>
      </c>
      <c r="F19" s="10"/>
      <c r="G19" s="12" t="n">
        <f aca="false">IFERROR(F19-F7,"")</f>
        <v>0</v>
      </c>
      <c r="H19" s="10"/>
      <c r="I19" s="10"/>
      <c r="J19" s="10"/>
      <c r="K19" s="10"/>
      <c r="L19" s="10"/>
      <c r="M19" s="13"/>
    </row>
    <row r="20" customFormat="false" ht="16.5" hidden="false" customHeight="true" outlineLevel="0" collapsed="false">
      <c r="A20" s="4"/>
      <c r="B20" s="5"/>
      <c r="C20" s="6" t="str">
        <f aca="false">IFERROR((B20-B8)/B8,"")</f>
        <v/>
      </c>
      <c r="D20" s="5"/>
      <c r="E20" s="6" t="str">
        <f aca="false">IFERROR((D20-D8)/D8,"")</f>
        <v/>
      </c>
      <c r="F20" s="5"/>
      <c r="G20" s="7" t="n">
        <f aca="false">IFERROR(F20-F8,"")</f>
        <v>0</v>
      </c>
      <c r="H20" s="5"/>
      <c r="I20" s="5"/>
      <c r="J20" s="5"/>
      <c r="K20" s="5"/>
      <c r="L20" s="5"/>
      <c r="M20" s="8"/>
    </row>
    <row r="21" customFormat="false" ht="16.5" hidden="false" customHeight="true" outlineLevel="0" collapsed="false">
      <c r="A21" s="9"/>
      <c r="B21" s="10"/>
      <c r="C21" s="11" t="str">
        <f aca="false">IFERROR((B21-B9)/B9,"")</f>
        <v/>
      </c>
      <c r="D21" s="10"/>
      <c r="E21" s="11" t="str">
        <f aca="false">IFERROR((D21-D9)/D9,"")</f>
        <v/>
      </c>
      <c r="F21" s="10"/>
      <c r="G21" s="12" t="n">
        <f aca="false">IFERROR(F21-F9,"")</f>
        <v>0</v>
      </c>
      <c r="H21" s="10"/>
      <c r="I21" s="10"/>
      <c r="J21" s="10"/>
      <c r="K21" s="10"/>
      <c r="L21" s="10"/>
      <c r="M21" s="13"/>
    </row>
    <row r="22" customFormat="false" ht="16.5" hidden="false" customHeight="true" outlineLevel="0" collapsed="false">
      <c r="A22" s="4"/>
      <c r="B22" s="5"/>
      <c r="C22" s="6" t="str">
        <f aca="false">IFERROR((B22-B10)/B10,"")</f>
        <v/>
      </c>
      <c r="D22" s="5"/>
      <c r="E22" s="6" t="str">
        <f aca="false">IFERROR((D22-D10)/D10,"")</f>
        <v/>
      </c>
      <c r="F22" s="5"/>
      <c r="G22" s="7" t="n">
        <f aca="false">IFERROR(F22-F10,"")</f>
        <v>0</v>
      </c>
      <c r="H22" s="5"/>
      <c r="I22" s="5"/>
      <c r="J22" s="5"/>
      <c r="K22" s="5"/>
      <c r="L22" s="5"/>
      <c r="M22" s="8"/>
    </row>
    <row r="23" customFormat="false" ht="16.5" hidden="false" customHeight="true" outlineLevel="0" collapsed="false">
      <c r="A23" s="9"/>
      <c r="B23" s="10"/>
      <c r="C23" s="11" t="str">
        <f aca="false">IFERROR((B23-B11)/B11,"")</f>
        <v/>
      </c>
      <c r="D23" s="10"/>
      <c r="E23" s="11" t="str">
        <f aca="false">IFERROR((D23-D11)/D11,"")</f>
        <v/>
      </c>
      <c r="F23" s="10"/>
      <c r="G23" s="12" t="n">
        <f aca="false">IFERROR(F23-F11,"")</f>
        <v>0</v>
      </c>
      <c r="H23" s="10"/>
      <c r="I23" s="10"/>
      <c r="J23" s="10"/>
      <c r="K23" s="10"/>
      <c r="L23" s="10"/>
      <c r="M23" s="13"/>
    </row>
    <row r="24" customFormat="false" ht="16.5" hidden="false" customHeight="true" outlineLevel="0" collapsed="false">
      <c r="A24" s="4"/>
      <c r="B24" s="5"/>
      <c r="C24" s="6" t="str">
        <f aca="false">IFERROR((B24-B12)/B12,"")</f>
        <v/>
      </c>
      <c r="D24" s="5"/>
      <c r="E24" s="6" t="str">
        <f aca="false">IFERROR((D24-D12)/D12,"")</f>
        <v/>
      </c>
      <c r="F24" s="5"/>
      <c r="G24" s="7" t="n">
        <f aca="false">IFERROR(F24-F12,"")</f>
        <v>0</v>
      </c>
      <c r="H24" s="5"/>
      <c r="I24" s="5"/>
      <c r="J24" s="5"/>
      <c r="K24" s="5"/>
      <c r="L24" s="5"/>
      <c r="M24" s="8"/>
    </row>
    <row r="25" customFormat="false" ht="16.5" hidden="false" customHeight="true" outlineLevel="0" collapsed="false">
      <c r="A25" s="9"/>
      <c r="B25" s="10"/>
      <c r="C25" s="11" t="str">
        <f aca="false">IFERROR((B25-B13)/B13,"")</f>
        <v/>
      </c>
      <c r="D25" s="10"/>
      <c r="E25" s="11" t="str">
        <f aca="false">IFERROR((D25-D13)/D13,"")</f>
        <v/>
      </c>
      <c r="F25" s="10"/>
      <c r="G25" s="12" t="n">
        <f aca="false">IFERROR(F25-F13,"")</f>
        <v>0</v>
      </c>
      <c r="H25" s="10"/>
      <c r="I25" s="10"/>
      <c r="J25" s="10"/>
      <c r="K25" s="10"/>
      <c r="L25" s="10"/>
      <c r="M25" s="13"/>
    </row>
    <row r="26" customFormat="false" ht="16.5" hidden="false" customHeight="true" outlineLevel="0" collapsed="false">
      <c r="A26" s="4"/>
      <c r="B26" s="5"/>
      <c r="C26" s="6" t="str">
        <f aca="false">IFERROR((B26-B14)/B14,"")</f>
        <v/>
      </c>
      <c r="D26" s="5"/>
      <c r="E26" s="6" t="str">
        <f aca="false">IFERROR((D26-D14)/D14,"")</f>
        <v/>
      </c>
      <c r="F26" s="5"/>
      <c r="G26" s="7" t="n">
        <f aca="false">IFERROR(F26-F14,"")</f>
        <v>0</v>
      </c>
      <c r="H26" s="5"/>
      <c r="I26" s="5"/>
      <c r="J26" s="5"/>
      <c r="K26" s="5"/>
      <c r="L26" s="5"/>
      <c r="M26" s="8"/>
    </row>
    <row r="27" customFormat="false" ht="16.5" hidden="false" customHeight="true" outlineLevel="0" collapsed="false">
      <c r="A27" s="9"/>
      <c r="B27" s="10"/>
      <c r="C27" s="11" t="str">
        <f aca="false">IFERROR((B27-B15)/B15,"")</f>
        <v/>
      </c>
      <c r="D27" s="10"/>
      <c r="E27" s="11" t="str">
        <f aca="false">IFERROR((D27-D15)/D15,"")</f>
        <v/>
      </c>
      <c r="F27" s="10"/>
      <c r="G27" s="12" t="n">
        <f aca="false">IFERROR(F27-F15,"")</f>
        <v>0</v>
      </c>
      <c r="H27" s="10"/>
      <c r="I27" s="10"/>
      <c r="J27" s="10"/>
      <c r="K27" s="10"/>
      <c r="L27" s="10"/>
      <c r="M27" s="13"/>
    </row>
    <row r="28" customFormat="false" ht="16.5" hidden="false" customHeight="true" outlineLevel="0" collapsed="false">
      <c r="A28" s="4"/>
      <c r="B28" s="5"/>
      <c r="C28" s="6" t="str">
        <f aca="false">IFERROR((B28-B16)/B16,"")</f>
        <v/>
      </c>
      <c r="D28" s="5"/>
      <c r="E28" s="6" t="str">
        <f aca="false">IFERROR((D28-D16)/D16,"")</f>
        <v/>
      </c>
      <c r="F28" s="5"/>
      <c r="G28" s="7" t="n">
        <f aca="false">IFERROR(F28-F16,"")</f>
        <v>0</v>
      </c>
      <c r="H28" s="5"/>
      <c r="I28" s="5"/>
      <c r="J28" s="5"/>
      <c r="K28" s="5"/>
      <c r="L28" s="5"/>
      <c r="M28" s="8"/>
    </row>
    <row r="29" customFormat="false" ht="16.5" hidden="false" customHeight="true" outlineLevel="0" collapsed="false">
      <c r="A29" s="9"/>
      <c r="B29" s="10"/>
      <c r="C29" s="11" t="str">
        <f aca="false">IFERROR((B29-B17)/B17,"")</f>
        <v/>
      </c>
      <c r="D29" s="10"/>
      <c r="E29" s="11" t="str">
        <f aca="false">IFERROR((D29-D17)/D17,"")</f>
        <v/>
      </c>
      <c r="F29" s="10"/>
      <c r="G29" s="12" t="n">
        <f aca="false">IFERROR(F29-F17,"")</f>
        <v>0</v>
      </c>
      <c r="H29" s="10"/>
      <c r="I29" s="10"/>
      <c r="J29" s="10"/>
      <c r="K29" s="10"/>
      <c r="L29" s="10"/>
      <c r="M29" s="13"/>
    </row>
    <row r="30" customFormat="false" ht="16.5" hidden="false" customHeight="true" outlineLevel="0" collapsed="false">
      <c r="A30" s="4"/>
      <c r="B30" s="5"/>
      <c r="C30" s="6" t="str">
        <f aca="false">IFERROR((B30-B18)/B18,"")</f>
        <v/>
      </c>
      <c r="D30" s="5"/>
      <c r="E30" s="6" t="str">
        <f aca="false">IFERROR((D30-D18)/D18,"")</f>
        <v/>
      </c>
      <c r="F30" s="5"/>
      <c r="G30" s="7" t="n">
        <f aca="false">IFERROR(F30-F18,"")</f>
        <v>0</v>
      </c>
      <c r="H30" s="5"/>
      <c r="I30" s="5"/>
      <c r="J30" s="5"/>
      <c r="K30" s="5"/>
      <c r="L30" s="5"/>
      <c r="M30" s="8"/>
    </row>
    <row r="31" customFormat="false" ht="16.5" hidden="false" customHeight="true" outlineLevel="0" collapsed="false">
      <c r="A31" s="9"/>
      <c r="B31" s="10"/>
      <c r="C31" s="11" t="str">
        <f aca="false">IFERROR((B31-B19)/B19,"")</f>
        <v/>
      </c>
      <c r="D31" s="10"/>
      <c r="E31" s="11" t="str">
        <f aca="false">IFERROR((D31-D19)/D19,"")</f>
        <v/>
      </c>
      <c r="F31" s="10"/>
      <c r="G31" s="12" t="n">
        <f aca="false">IFERROR(F31-F19,"")</f>
        <v>0</v>
      </c>
      <c r="H31" s="10"/>
      <c r="I31" s="10"/>
      <c r="J31" s="10"/>
      <c r="K31" s="10"/>
      <c r="L31" s="10"/>
      <c r="M31" s="13"/>
    </row>
    <row r="32" customFormat="false" ht="16.5" hidden="false" customHeight="true" outlineLevel="0" collapsed="false">
      <c r="A32" s="4"/>
      <c r="B32" s="5"/>
      <c r="C32" s="6" t="str">
        <f aca="false">IFERROR((B32-B20)/B20,"")</f>
        <v/>
      </c>
      <c r="D32" s="5"/>
      <c r="E32" s="6" t="str">
        <f aca="false">IFERROR((D32-D20)/D20,"")</f>
        <v/>
      </c>
      <c r="F32" s="5"/>
      <c r="G32" s="7" t="n">
        <f aca="false">IFERROR(F32-F20,"")</f>
        <v>0</v>
      </c>
      <c r="H32" s="5"/>
      <c r="I32" s="5"/>
      <c r="J32" s="5"/>
      <c r="K32" s="5"/>
      <c r="L32" s="5"/>
      <c r="M32" s="8"/>
    </row>
    <row r="33" customFormat="false" ht="16.5" hidden="false" customHeight="true" outlineLevel="0" collapsed="false">
      <c r="A33" s="9"/>
      <c r="B33" s="10"/>
      <c r="C33" s="11" t="str">
        <f aca="false">IFERROR((B33-B21)/B21,"")</f>
        <v/>
      </c>
      <c r="D33" s="10"/>
      <c r="E33" s="11" t="str">
        <f aca="false">IFERROR((D33-D21)/D21,"")</f>
        <v/>
      </c>
      <c r="F33" s="10"/>
      <c r="G33" s="12" t="n">
        <f aca="false">IFERROR(F33-F21,"")</f>
        <v>0</v>
      </c>
      <c r="H33" s="10"/>
      <c r="I33" s="10"/>
      <c r="J33" s="10"/>
      <c r="K33" s="10"/>
      <c r="L33" s="10"/>
      <c r="M33" s="13"/>
    </row>
    <row r="34" customFormat="false" ht="16.5" hidden="false" customHeight="true" outlineLevel="0" collapsed="false">
      <c r="A34" s="4"/>
      <c r="B34" s="5"/>
      <c r="C34" s="6" t="str">
        <f aca="false">IFERROR((B34-B22)/B22,"")</f>
        <v/>
      </c>
      <c r="D34" s="5"/>
      <c r="E34" s="6" t="str">
        <f aca="false">IFERROR((D34-D22)/D22,"")</f>
        <v/>
      </c>
      <c r="F34" s="5"/>
      <c r="G34" s="7" t="n">
        <f aca="false">IFERROR(F34-F22,"")</f>
        <v>0</v>
      </c>
      <c r="H34" s="5"/>
      <c r="I34" s="5"/>
      <c r="J34" s="5"/>
      <c r="K34" s="5"/>
      <c r="L34" s="5"/>
      <c r="M34" s="8"/>
    </row>
    <row r="35" customFormat="false" ht="16.5" hidden="false" customHeight="true" outlineLevel="0" collapsed="false">
      <c r="A35" s="9"/>
      <c r="B35" s="10"/>
      <c r="C35" s="11" t="str">
        <f aca="false">IFERROR((B35-B23)/B23,"")</f>
        <v/>
      </c>
      <c r="D35" s="10"/>
      <c r="E35" s="11" t="str">
        <f aca="false">IFERROR((D35-D23)/D23,"")</f>
        <v/>
      </c>
      <c r="F35" s="10"/>
      <c r="G35" s="12" t="n">
        <f aca="false">IFERROR(F35-F23,"")</f>
        <v>0</v>
      </c>
      <c r="H35" s="10"/>
      <c r="I35" s="10"/>
      <c r="J35" s="10"/>
      <c r="K35" s="10"/>
      <c r="L35" s="10"/>
      <c r="M35" s="13"/>
    </row>
    <row r="36" customFormat="false" ht="16.5" hidden="false" customHeight="true" outlineLevel="0" collapsed="false">
      <c r="A36" s="4"/>
      <c r="B36" s="5"/>
      <c r="C36" s="6" t="str">
        <f aca="false">IFERROR((B36-B24)/B24,"")</f>
        <v/>
      </c>
      <c r="D36" s="5"/>
      <c r="E36" s="6" t="str">
        <f aca="false">IFERROR((D36-D24)/D24,"")</f>
        <v/>
      </c>
      <c r="F36" s="5"/>
      <c r="G36" s="7" t="n">
        <f aca="false">IFERROR(F36-F24,"")</f>
        <v>0</v>
      </c>
      <c r="H36" s="5"/>
      <c r="I36" s="5"/>
      <c r="J36" s="5"/>
      <c r="K36" s="5"/>
      <c r="L36" s="5"/>
      <c r="M36" s="8"/>
    </row>
    <row r="37" customFormat="false" ht="16.5" hidden="false" customHeight="true" outlineLevel="0" collapsed="false">
      <c r="A37" s="9"/>
      <c r="B37" s="10"/>
      <c r="C37" s="11" t="str">
        <f aca="false">IFERROR((B37-B25)/B25,"")</f>
        <v/>
      </c>
      <c r="D37" s="10"/>
      <c r="E37" s="11" t="str">
        <f aca="false">IFERROR((D37-D25)/D25,"")</f>
        <v/>
      </c>
      <c r="F37" s="10"/>
      <c r="G37" s="12" t="n">
        <f aca="false">IFERROR(F37-F25,"")</f>
        <v>0</v>
      </c>
      <c r="H37" s="10"/>
      <c r="I37" s="10"/>
      <c r="J37" s="10"/>
      <c r="K37" s="10"/>
      <c r="L37" s="10"/>
      <c r="M37" s="13"/>
    </row>
    <row r="38" customFormat="false" ht="16.5" hidden="false" customHeight="true" outlineLevel="0" collapsed="false">
      <c r="A38" s="4"/>
      <c r="B38" s="5"/>
      <c r="C38" s="6" t="str">
        <f aca="false">IFERROR((B38-B26)/B26,"")</f>
        <v/>
      </c>
      <c r="D38" s="5"/>
      <c r="E38" s="6" t="str">
        <f aca="false">IFERROR((D38-D26)/D26,"")</f>
        <v/>
      </c>
      <c r="F38" s="5"/>
      <c r="G38" s="7" t="n">
        <f aca="false">IFERROR(F38-F26,"")</f>
        <v>0</v>
      </c>
      <c r="H38" s="5"/>
      <c r="I38" s="5"/>
      <c r="J38" s="5"/>
      <c r="K38" s="5"/>
      <c r="L38" s="5"/>
      <c r="M38" s="8"/>
    </row>
    <row r="39" customFormat="false" ht="16.5" hidden="false" customHeight="true" outlineLevel="0" collapsed="false">
      <c r="A39" s="9"/>
      <c r="B39" s="10"/>
      <c r="C39" s="11" t="str">
        <f aca="false">IFERROR((B39-B27)/B27,"")</f>
        <v/>
      </c>
      <c r="D39" s="10"/>
      <c r="E39" s="11" t="str">
        <f aca="false">IFERROR((D39-D27)/D27,"")</f>
        <v/>
      </c>
      <c r="F39" s="10"/>
      <c r="G39" s="12" t="n">
        <f aca="false">IFERROR(F39-F27,"")</f>
        <v>0</v>
      </c>
      <c r="H39" s="10"/>
      <c r="I39" s="10"/>
      <c r="J39" s="10"/>
      <c r="K39" s="10"/>
      <c r="L39" s="10"/>
      <c r="M39" s="13"/>
    </row>
    <row r="40" customFormat="false" ht="126.85" hidden="false" customHeight="false" outlineLevel="0" collapsed="false">
      <c r="A40" s="14" t="s">
        <v>15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5" t="s">
        <v>16</v>
      </c>
      <c r="B1" s="15"/>
      <c r="C1" s="15"/>
      <c r="D1" s="15"/>
      <c r="E1" s="15"/>
      <c r="F1" s="15"/>
    </row>
    <row r="2" customFormat="false" ht="21.75" hidden="false" customHeight="true" outlineLevel="0" collapsed="false">
      <c r="A2" s="16" t="s">
        <v>14</v>
      </c>
      <c r="B2" s="16" t="s">
        <v>17</v>
      </c>
      <c r="C2" s="16" t="s">
        <v>18</v>
      </c>
      <c r="D2" s="16" t="s">
        <v>19</v>
      </c>
      <c r="E2" s="16" t="s">
        <v>20</v>
      </c>
      <c r="F2" s="16" t="s">
        <v>21</v>
      </c>
    </row>
    <row r="3" customFormat="false" ht="18" hidden="false" customHeight="true" outlineLevel="0" collapsed="false">
      <c r="A3" s="10"/>
      <c r="B3" s="10"/>
      <c r="C3" s="10"/>
      <c r="D3" s="10"/>
      <c r="E3" s="10"/>
      <c r="F3" s="10"/>
    </row>
    <row r="4" customFormat="false" ht="18" hidden="false" customHeight="true" outlineLevel="0" collapsed="false">
      <c r="A4" s="5"/>
      <c r="B4" s="5"/>
      <c r="C4" s="5"/>
      <c r="D4" s="5"/>
      <c r="E4" s="5"/>
      <c r="F4" s="5"/>
    </row>
    <row r="5" customFormat="false" ht="18" hidden="false" customHeight="true" outlineLevel="0" collapsed="false">
      <c r="A5" s="10"/>
      <c r="B5" s="10"/>
      <c r="C5" s="10"/>
      <c r="D5" s="10"/>
      <c r="E5" s="10"/>
      <c r="F5" s="10"/>
    </row>
    <row r="6" customFormat="false" ht="18" hidden="false" customHeight="true" outlineLevel="0" collapsed="false">
      <c r="A6" s="5"/>
      <c r="B6" s="5"/>
      <c r="C6" s="5"/>
      <c r="D6" s="5"/>
      <c r="E6" s="5"/>
      <c r="F6" s="5"/>
    </row>
    <row r="7" customFormat="false" ht="18" hidden="false" customHeight="true" outlineLevel="0" collapsed="false">
      <c r="A7" s="10"/>
      <c r="B7" s="10"/>
      <c r="C7" s="10"/>
      <c r="D7" s="10"/>
      <c r="E7" s="10"/>
      <c r="F7" s="10"/>
    </row>
    <row r="8" customFormat="false" ht="18" hidden="false" customHeight="true" outlineLevel="0" collapsed="false">
      <c r="A8" s="5"/>
      <c r="B8" s="5"/>
      <c r="C8" s="5"/>
      <c r="D8" s="5"/>
      <c r="E8" s="5"/>
      <c r="F8" s="5"/>
    </row>
    <row r="9" customFormat="false" ht="18" hidden="false" customHeight="true" outlineLevel="0" collapsed="false">
      <c r="A9" s="10"/>
      <c r="B9" s="10"/>
      <c r="C9" s="10"/>
      <c r="D9" s="10"/>
      <c r="E9" s="10"/>
      <c r="F9" s="10"/>
    </row>
    <row r="10" customFormat="false" ht="18" hidden="false" customHeight="true" outlineLevel="0" collapsed="false">
      <c r="A10" s="5"/>
      <c r="B10" s="5"/>
      <c r="C10" s="5"/>
      <c r="D10" s="5"/>
      <c r="E10" s="5"/>
      <c r="F10" s="5"/>
    </row>
    <row r="11" customFormat="false" ht="18" hidden="false" customHeight="true" outlineLevel="0" collapsed="false">
      <c r="A11" s="10"/>
      <c r="B11" s="10"/>
      <c r="C11" s="10"/>
      <c r="D11" s="10"/>
      <c r="E11" s="10"/>
      <c r="F11" s="10"/>
    </row>
    <row r="12" customFormat="false" ht="18" hidden="false" customHeight="true" outlineLevel="0" collapsed="false">
      <c r="A12" s="5"/>
      <c r="B12" s="5"/>
      <c r="C12" s="5"/>
      <c r="D12" s="5"/>
      <c r="E12" s="5"/>
      <c r="F12" s="5"/>
    </row>
    <row r="13" customFormat="false" ht="18" hidden="false" customHeight="true" outlineLevel="0" collapsed="false">
      <c r="A13" s="10"/>
      <c r="B13" s="10"/>
      <c r="C13" s="10"/>
      <c r="D13" s="10"/>
      <c r="E13" s="10"/>
      <c r="F13" s="10"/>
    </row>
    <row r="14" customFormat="false" ht="18" hidden="false" customHeight="true" outlineLevel="0" collapsed="false">
      <c r="A14" s="5"/>
      <c r="B14" s="5"/>
      <c r="C14" s="5"/>
      <c r="D14" s="5"/>
      <c r="E14" s="5"/>
      <c r="F14" s="5"/>
    </row>
    <row r="15" customFormat="false" ht="18" hidden="false" customHeight="true" outlineLevel="0" collapsed="false">
      <c r="A15" s="10"/>
      <c r="B15" s="10"/>
      <c r="C15" s="10"/>
      <c r="D15" s="10"/>
      <c r="E15" s="10"/>
      <c r="F15" s="10"/>
    </row>
    <row r="16" customFormat="false" ht="18" hidden="false" customHeight="true" outlineLevel="0" collapsed="false">
      <c r="A16" s="5"/>
      <c r="B16" s="5"/>
      <c r="C16" s="5"/>
      <c r="D16" s="5"/>
      <c r="E16" s="5"/>
      <c r="F16" s="5"/>
    </row>
    <row r="17" customFormat="false" ht="18" hidden="false" customHeight="true" outlineLevel="0" collapsed="false">
      <c r="A17" s="10"/>
      <c r="B17" s="10"/>
      <c r="C17" s="10"/>
      <c r="D17" s="10"/>
      <c r="E17" s="10"/>
      <c r="F17" s="10"/>
    </row>
    <row r="18" customFormat="false" ht="18" hidden="false" customHeight="true" outlineLevel="0" collapsed="false">
      <c r="A18" s="5"/>
      <c r="B18" s="5"/>
      <c r="C18" s="5"/>
      <c r="D18" s="5"/>
      <c r="E18" s="5"/>
      <c r="F18" s="5"/>
    </row>
    <row r="19" customFormat="false" ht="18" hidden="false" customHeight="true" outlineLevel="0" collapsed="false">
      <c r="A19" s="10"/>
      <c r="B19" s="10"/>
      <c r="C19" s="10"/>
      <c r="D19" s="10"/>
      <c r="E19" s="10"/>
      <c r="F19" s="10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2026-02-24T01:09:08Z</dcterms:created>
  <dc:creator>openpyxl</dc:creator>
  <dc:description/>
  <dc:language>en-US</dc:language>
  <cp:lastModifiedBy/>
  <dcterms:modified xsi:type="dcterms:W3CDTF">2026-02-24T01:09:08Z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