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ruption Log" sheetId="1" state="visible" r:id="rId3"/>
    <sheet name="Annual Summary" sheetId="2" state="visible" r:id="rId4"/>
  </sheets>
  <definedNames>
    <definedName function="false" hidden="true" localSheetId="0" name="_xlnm._FilterDatabase" vbProcedure="false">'Disruption Log'!$A$2:$L$53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<sst xmlns="http://schemas.openxmlformats.org/spreadsheetml/2006/main" count="20" uniqueCount="19">
  <si>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Copper Supply Disruption Log</t>
  </si>
  <si>
    <t xml:space="preserve">Date Reported</t>
  </si>
  <si>
    <t xml:space="preserve">Mine / Operation</t>
  </si>
  <si>
    <t xml:space="preserve">Country</t>
  </si>
  <si>
    <t xml:space="preserve">Owner</t>
  </si>
  <si>
    <t xml:space="preserve">Type</t>
  </si>
  <si>
    <t xml:space="preserve">Status</t>
  </si>
  <si>
    <t xml:space="preserve">Est. Impact (kt/yr)</t>
  </si>
  <si>
    <t xml:space="preserve">Duration (days)</t>
  </si>
  <si>
    <t xml:space="preserve">Total kt Lost</t>
  </si>
  <si>
    <t xml:space="preserve">Price Reaction</t>
  </si>
  <si>
    <t xml:space="preserve">Resolved Date</t>
  </si>
  <si>
    <t xml:space="preserve">Notes / Source</t>
  </si>
  <si>
    <t xml:space="preserve">Type: LABOR (strike/negotiation) | WEATHER (flooding/drought/earthquake) | REGULATORY (permit/export ban) | GEOLOGICAL (grade, cave-in, ore failure) | LOGISTICS (port, road)</t>
  </si>
  <si>
    <t xml:space="preserve">Status: ACTIVE | RESOLVED | MONITORING | FORCE MAJEURE</t>
  </si>
  <si>
    <t xml:space="preserve">Annual Disruption Summary</t>
  </si>
  <si>
    <t xml:space="preserve">Year</t>
  </si>
  <si>
    <t xml:space="preserve"># Events</t>
  </si>
  <si>
    <t xml:space="preserve">Avg kt/Event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</si>
</sst>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6DA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11" min="8" style="0" width="14"/>
    <col collapsed="false" customWidth="true" hidden="false" outlineLevel="0" max="12" min="12" style="0" width="3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08.95" hidden="false" customHeight="false" outlineLevel="0" collapsed="false">
      <c r="A3" s="3" t="s">
        <v>13</v>
      </c>
      <c r="E3" s="3" t="s">
        <v>14</v>
      </c>
    </row>
    <row r="4" customFormat="false" ht="18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5" t="n">
        <f aca="false">IFERROR(G4/365*H4,"")</f>
        <v>0</v>
      </c>
      <c r="J4" s="4"/>
      <c r="K4" s="4"/>
      <c r="L4" s="6"/>
    </row>
    <row r="5" customFormat="false" ht="18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8" t="n">
        <f aca="false">IFERROR(G5/365*H5,"")</f>
        <v>0</v>
      </c>
      <c r="J5" s="7"/>
      <c r="K5" s="7"/>
      <c r="L5" s="9"/>
    </row>
    <row r="6" customFormat="false" ht="18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5" t="n">
        <f aca="false">IFERROR(G6/365*H6,"")</f>
        <v>0</v>
      </c>
      <c r="J6" s="4"/>
      <c r="K6" s="4"/>
      <c r="L6" s="6"/>
    </row>
    <row r="7" customFormat="false" ht="18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8" t="n">
        <f aca="false">IFERROR(G7/365*H7,"")</f>
        <v>0</v>
      </c>
      <c r="J7" s="7"/>
      <c r="K7" s="7"/>
      <c r="L7" s="9"/>
    </row>
    <row r="8" customFormat="false" ht="18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5" t="n">
        <f aca="false">IFERROR(G8/365*H8,"")</f>
        <v>0</v>
      </c>
      <c r="J8" s="4"/>
      <c r="K8" s="4"/>
      <c r="L8" s="6"/>
    </row>
    <row r="9" customFormat="false" ht="18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8" t="n">
        <f aca="false">IFERROR(G9/365*H9,"")</f>
        <v>0</v>
      </c>
      <c r="J9" s="7"/>
      <c r="K9" s="7"/>
      <c r="L9" s="9"/>
    </row>
    <row r="10" customFormat="false" ht="18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5" t="n">
        <f aca="false">IFERROR(G10/365*H10,"")</f>
        <v>0</v>
      </c>
      <c r="J10" s="4"/>
      <c r="K10" s="4"/>
      <c r="L10" s="6"/>
    </row>
    <row r="11" customFormat="false" ht="18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8" t="n">
        <f aca="false">IFERROR(G11/365*H11,"")</f>
        <v>0</v>
      </c>
      <c r="J11" s="7"/>
      <c r="K11" s="7"/>
      <c r="L11" s="9"/>
    </row>
    <row r="12" customFormat="false" ht="18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5" t="n">
        <f aca="false">IFERROR(G12/365*H12,"")</f>
        <v>0</v>
      </c>
      <c r="J12" s="4"/>
      <c r="K12" s="4"/>
      <c r="L12" s="6"/>
    </row>
    <row r="13" customFormat="false" ht="18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8" t="n">
        <f aca="false">IFERROR(G13/365*H13,"")</f>
        <v>0</v>
      </c>
      <c r="J13" s="7"/>
      <c r="K13" s="7"/>
      <c r="L13" s="9"/>
    </row>
    <row r="14" customFormat="false" ht="18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5" t="n">
        <f aca="false">IFERROR(G14/365*H14,"")</f>
        <v>0</v>
      </c>
      <c r="J14" s="4"/>
      <c r="K14" s="4"/>
      <c r="L14" s="6"/>
    </row>
    <row r="15" customFormat="false" ht="18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8" t="n">
        <f aca="false">IFERROR(G15/365*H15,"")</f>
        <v>0</v>
      </c>
      <c r="J15" s="7"/>
      <c r="K15" s="7"/>
      <c r="L15" s="9"/>
    </row>
    <row r="16" customFormat="false" ht="18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5" t="n">
        <f aca="false">IFERROR(G16/365*H16,"")</f>
        <v>0</v>
      </c>
      <c r="J16" s="4"/>
      <c r="K16" s="4"/>
      <c r="L16" s="6"/>
    </row>
    <row r="17" customFormat="false" ht="18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8" t="n">
        <f aca="false">IFERROR(G17/365*H17,"")</f>
        <v>0</v>
      </c>
      <c r="J17" s="7"/>
      <c r="K17" s="7"/>
      <c r="L17" s="9"/>
    </row>
    <row r="18" customFormat="false" ht="18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5" t="n">
        <f aca="false">IFERROR(G18/365*H18,"")</f>
        <v>0</v>
      </c>
      <c r="J18" s="4"/>
      <c r="K18" s="4"/>
      <c r="L18" s="6"/>
    </row>
    <row r="19" customFormat="false" ht="18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8" t="n">
        <f aca="false">IFERROR(G19/365*H19,"")</f>
        <v>0</v>
      </c>
      <c r="J19" s="7"/>
      <c r="K19" s="7"/>
      <c r="L19" s="9"/>
    </row>
    <row r="20" customFormat="false" ht="18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5" t="n">
        <f aca="false">IFERROR(G20/365*H20,"")</f>
        <v>0</v>
      </c>
      <c r="J20" s="4"/>
      <c r="K20" s="4"/>
      <c r="L20" s="6"/>
    </row>
    <row r="21" customFormat="false" ht="18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8" t="n">
        <f aca="false">IFERROR(G21/365*H21,"")</f>
        <v>0</v>
      </c>
      <c r="J21" s="7"/>
      <c r="K21" s="7"/>
      <c r="L21" s="9"/>
    </row>
    <row r="22" customFormat="false" ht="18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5" t="n">
        <f aca="false">IFERROR(G22/365*H22,"")</f>
        <v>0</v>
      </c>
      <c r="J22" s="4"/>
      <c r="K22" s="4"/>
      <c r="L22" s="6"/>
    </row>
    <row r="23" customFormat="false" ht="18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8" t="n">
        <f aca="false">IFERROR(G23/365*H23,"")</f>
        <v>0</v>
      </c>
      <c r="J23" s="7"/>
      <c r="K23" s="7"/>
      <c r="L23" s="9"/>
    </row>
    <row r="24" customFormat="false" ht="18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5" t="n">
        <f aca="false">IFERROR(G24/365*H24,"")</f>
        <v>0</v>
      </c>
      <c r="J24" s="4"/>
      <c r="K24" s="4"/>
      <c r="L24" s="6"/>
    </row>
    <row r="25" customFormat="false" ht="18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8" t="n">
        <f aca="false">IFERROR(G25/365*H25,"")</f>
        <v>0</v>
      </c>
      <c r="J25" s="7"/>
      <c r="K25" s="7"/>
      <c r="L25" s="9"/>
    </row>
    <row r="26" customFormat="false" ht="18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5" t="n">
        <f aca="false">IFERROR(G26/365*H26,"")</f>
        <v>0</v>
      </c>
      <c r="J26" s="4"/>
      <c r="K26" s="4"/>
      <c r="L26" s="6"/>
    </row>
    <row r="27" customFormat="false" ht="18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8" t="n">
        <f aca="false">IFERROR(G27/365*H27,"")</f>
        <v>0</v>
      </c>
      <c r="J27" s="7"/>
      <c r="K27" s="7"/>
      <c r="L27" s="9"/>
    </row>
    <row r="28" customFormat="false" ht="18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5" t="n">
        <f aca="false">IFERROR(G28/365*H28,"")</f>
        <v>0</v>
      </c>
      <c r="J28" s="4"/>
      <c r="K28" s="4"/>
      <c r="L28" s="6"/>
    </row>
    <row r="29" customFormat="false" ht="18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8" t="n">
        <f aca="false">IFERROR(G29/365*H29,"")</f>
        <v>0</v>
      </c>
      <c r="J29" s="7"/>
      <c r="K29" s="7"/>
      <c r="L29" s="9"/>
    </row>
    <row r="30" customFormat="false" ht="18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5" t="n">
        <f aca="false">IFERROR(G30/365*H30,"")</f>
        <v>0</v>
      </c>
      <c r="J30" s="4"/>
      <c r="K30" s="4"/>
      <c r="L30" s="6"/>
    </row>
    <row r="31" customFormat="false" ht="18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8" t="n">
        <f aca="false">IFERROR(G31/365*H31,"")</f>
        <v>0</v>
      </c>
      <c r="J31" s="7"/>
      <c r="K31" s="7"/>
      <c r="L31" s="9"/>
    </row>
    <row r="32" customFormat="false" ht="18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5" t="n">
        <f aca="false">IFERROR(G32/365*H32,"")</f>
        <v>0</v>
      </c>
      <c r="J32" s="4"/>
      <c r="K32" s="4"/>
      <c r="L32" s="6"/>
    </row>
    <row r="33" customFormat="false" ht="18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8" t="n">
        <f aca="false">IFERROR(G33/365*H33,"")</f>
        <v>0</v>
      </c>
      <c r="J33" s="7"/>
      <c r="K33" s="7"/>
      <c r="L33" s="9"/>
    </row>
    <row r="34" customFormat="false" ht="18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5" t="n">
        <f aca="false">IFERROR(G34/365*H34,"")</f>
        <v>0</v>
      </c>
      <c r="J34" s="4"/>
      <c r="K34" s="4"/>
      <c r="L34" s="6"/>
    </row>
    <row r="35" customFormat="false" ht="18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8" t="n">
        <f aca="false">IFERROR(G35/365*H35,"")</f>
        <v>0</v>
      </c>
      <c r="J35" s="7"/>
      <c r="K35" s="7"/>
      <c r="L35" s="9"/>
    </row>
    <row r="36" customFormat="false" ht="18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5" t="n">
        <f aca="false">IFERROR(G36/365*H36,"")</f>
        <v>0</v>
      </c>
      <c r="J36" s="4"/>
      <c r="K36" s="4"/>
      <c r="L36" s="6"/>
    </row>
    <row r="37" customFormat="false" ht="18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8" t="n">
        <f aca="false">IFERROR(G37/365*H37,"")</f>
        <v>0</v>
      </c>
      <c r="J37" s="7"/>
      <c r="K37" s="7"/>
      <c r="L37" s="9"/>
    </row>
    <row r="38" customFormat="false" ht="18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5" t="n">
        <f aca="false">IFERROR(G38/365*H38,"")</f>
        <v>0</v>
      </c>
      <c r="J38" s="4"/>
      <c r="K38" s="4"/>
      <c r="L38" s="6"/>
    </row>
    <row r="39" customFormat="false" ht="18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8" t="n">
        <f aca="false">IFERROR(G39/365*H39,"")</f>
        <v>0</v>
      </c>
      <c r="J39" s="7"/>
      <c r="K39" s="7"/>
      <c r="L39" s="9"/>
    </row>
    <row r="40" customFormat="false" ht="18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5" t="n">
        <f aca="false">IFERROR(G40/365*H40,"")</f>
        <v>0</v>
      </c>
      <c r="J40" s="4"/>
      <c r="K40" s="4"/>
      <c r="L40" s="6"/>
    </row>
    <row r="41" customFormat="false" ht="18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8" t="n">
        <f aca="false">IFERROR(G41/365*H41,"")</f>
        <v>0</v>
      </c>
      <c r="J41" s="7"/>
      <c r="K41" s="7"/>
      <c r="L41" s="9"/>
    </row>
    <row r="42" customFormat="false" ht="18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5" t="n">
        <f aca="false">IFERROR(G42/365*H42,"")</f>
        <v>0</v>
      </c>
      <c r="J42" s="4"/>
      <c r="K42" s="4"/>
      <c r="L42" s="6"/>
    </row>
    <row r="43" customFormat="false" ht="18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8" t="n">
        <f aca="false">IFERROR(G43/365*H43,"")</f>
        <v>0</v>
      </c>
      <c r="J43" s="7"/>
      <c r="K43" s="7"/>
      <c r="L43" s="9"/>
    </row>
    <row r="44" customFormat="false" ht="18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5" t="n">
        <f aca="false">IFERROR(G44/365*H44,"")</f>
        <v>0</v>
      </c>
      <c r="J44" s="4"/>
      <c r="K44" s="4"/>
      <c r="L44" s="6"/>
    </row>
    <row r="45" customFormat="false" ht="18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8" t="n">
        <f aca="false">IFERROR(G45/365*H45,"")</f>
        <v>0</v>
      </c>
      <c r="J45" s="7"/>
      <c r="K45" s="7"/>
      <c r="L45" s="9"/>
    </row>
    <row r="46" customFormat="false" ht="18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5" t="n">
        <f aca="false">IFERROR(G46/365*H46,"")</f>
        <v>0</v>
      </c>
      <c r="J46" s="4"/>
      <c r="K46" s="4"/>
      <c r="L46" s="6"/>
    </row>
    <row r="47" customFormat="false" ht="18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8" t="n">
        <f aca="false">IFERROR(G47/365*H47,"")</f>
        <v>0</v>
      </c>
      <c r="J47" s="7"/>
      <c r="K47" s="7"/>
      <c r="L47" s="9"/>
    </row>
    <row r="48" customFormat="false" ht="18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5" t="n">
        <f aca="false">IFERROR(G48/365*H48,"")</f>
        <v>0</v>
      </c>
      <c r="J48" s="4"/>
      <c r="K48" s="4"/>
      <c r="L48" s="6"/>
    </row>
    <row r="49" customFormat="false" ht="18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8" t="n">
        <f aca="false">IFERROR(G49/365*H49,"")</f>
        <v>0</v>
      </c>
      <c r="J49" s="7"/>
      <c r="K49" s="7"/>
      <c r="L49" s="9"/>
    </row>
    <row r="50" customFormat="false" ht="18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5" t="n">
        <f aca="false">IFERROR(G50/365*H50,"")</f>
        <v>0</v>
      </c>
      <c r="J50" s="4"/>
      <c r="K50" s="4"/>
      <c r="L50" s="6"/>
    </row>
    <row r="51" customFormat="false" ht="18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8" t="n">
        <f aca="false">IFERROR(G51/365*H51,"")</f>
        <v>0</v>
      </c>
      <c r="J51" s="7"/>
      <c r="K51" s="7"/>
      <c r="L51" s="9"/>
    </row>
    <row r="52" customFormat="false" ht="18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5" t="n">
        <f aca="false">IFERROR(G52/365*H52,"")</f>
        <v>0</v>
      </c>
      <c r="J52" s="4"/>
      <c r="K52" s="4"/>
      <c r="L52" s="6"/>
    </row>
    <row r="53" customFormat="false" ht="18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8" t="n">
        <f aca="false">IFERROR(G53/365*H53,"")</f>
        <v>0</v>
      </c>
      <c r="J53" s="7"/>
      <c r="K53" s="7"/>
      <c r="L53" s="9"/>
    </row>
  </sheetData>
  <autoFilter ref="A2:L53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6"/>
  </cols>
  <sheetData>
    <row r="1" customFormat="false" ht="25.5" hidden="false" customHeight="true" outlineLevel="0" collapsed="false">
      <c r="A1" s="10" t="s">
        <v>15</v>
      </c>
      <c r="B1" s="10"/>
      <c r="C1" s="10"/>
      <c r="D1" s="10"/>
    </row>
    <row r="2" customFormat="false" ht="15" hidden="false" customHeight="false" outlineLevel="0" collapsed="false">
      <c r="A2" s="11" t="s">
        <v>16</v>
      </c>
      <c r="B2" s="11" t="s">
        <v>17</v>
      </c>
      <c r="C2" s="11" t="s">
        <v>9</v>
      </c>
      <c r="D2" s="11" t="s">
        <v>18</v>
      </c>
    </row>
    <row r="3" customFormat="false" ht="18" hidden="false" customHeight="true" outlineLevel="0" collapsed="false">
      <c r="A3" s="7"/>
      <c r="B3" s="8"/>
      <c r="C3" s="8"/>
      <c r="D3" s="8"/>
    </row>
    <row r="4" customFormat="false" ht="18" hidden="false" customHeight="true" outlineLevel="0" collapsed="false">
      <c r="A4" s="4"/>
      <c r="B4" s="5"/>
      <c r="C4" s="5"/>
      <c r="D4" s="5"/>
    </row>
    <row r="5" customFormat="false" ht="18" hidden="false" customHeight="true" outlineLevel="0" collapsed="false">
      <c r="A5" s="7"/>
      <c r="B5" s="8"/>
      <c r="C5" s="8"/>
      <c r="D5" s="8"/>
    </row>
    <row r="6" customFormat="false" ht="18" hidden="false" customHeight="true" outlineLevel="0" collapsed="false">
      <c r="A6" s="4"/>
      <c r="B6" s="5"/>
      <c r="C6" s="5"/>
      <c r="D6" s="5"/>
    </row>
    <row r="7" customFormat="false" ht="18" hidden="false" customHeight="true" outlineLevel="0" collapsed="false">
      <c r="A7" s="7"/>
      <c r="B7" s="8"/>
      <c r="C7" s="8"/>
      <c r="D7" s="8"/>
    </row>
    <row r="8" customFormat="false" ht="18" hidden="false" customHeight="true" outlineLevel="0" collapsed="false">
      <c r="A8" s="4"/>
      <c r="B8" s="5"/>
      <c r="C8" s="5"/>
      <c r="D8" s="5"/>
    </row>
    <row r="9" customFormat="false" ht="18" hidden="false" customHeight="true" outlineLevel="0" collapsed="false">
      <c r="A9" s="7"/>
      <c r="B9" s="8"/>
      <c r="C9" s="8"/>
      <c r="D9" s="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2026-02-24T01:08:59Z</dcterms:created>
  <dc:creator>openpyxl</dc:creator>
  <dc:description/>
  <dc:language>en-US</dc:language>
  <cp:lastModifiedBy/>
  <dcterms:modified xsi:type="dcterms:W3CDTF">2026-02-24T01:08:59Z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