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CRC Weekly" sheetId="1" state="visible" r:id="rId3"/>
    <sheet name="Annual Benchmark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<sst xmlns="http://schemas.openxmlformats.org/spreadsheetml/2006/main" count="30" uniqueCount="27">
  <si>
    <t xml:space="preserve">Copper TC/RC Tracker — Spot vs Annual Benchmark</t>
  </si>
  <si>
    <t xml:space="preserve">TC = Treatment Charge ($/t of concentrate) | RC = Refining Charge (¢/lb of metal) | Collapse in spot TC/RC = concentrate tightness = BULLISH signal</t>
  </si>
  <si>
    <t xml:space="preserve">Week</t>
  </si>
  <si>
    <t xml:space="preserve">Spot TC ($/t)</t>
  </si>
  <si>
    <t xml:space="preserve">Spot RC (¢/lb)</t>
  </si>
  <si>
    <t xml:space="preserve">Annual Benchmark TC</t>
  </si>
  <si>
    <t xml:space="preserve">Annual Benchmark RC</t>
  </si>
  <si>
    <t xml:space="preserve">TC Spot vs Bench</t>
  </si>
  <si>
    <t xml:space="preserve">RC Spot vs Bench</t>
  </si>
  <si>
    <t xml:space="preserve">Signal</t>
  </si>
  <si>
    <t xml:space="preserve">Concentrate Balance</t>
  </si>
  <si>
    <t xml:space="preserve">Notes / Source</t>
  </si>
  <si>
    <t xml:space="preserve">Annual TC/RC Benchmarks (Codelco/Jiangxi precedent)</t>
  </si>
  <si>
    <t xml:space="preserve">Year</t>
  </si>
  <si>
    <t xml:space="preserve">TC ($/t)</t>
  </si>
  <si>
    <t xml:space="preserve">RC (¢/lb)</t>
  </si>
  <si>
    <t xml:space="preserve">Price Participation</t>
  </si>
  <si>
    <t xml:space="preserve">Notes</t>
  </si>
  <si>
    <t xml:space="preserve">Yes</t>
  </si>
  <si>
    <t xml:space="preserve">Covid disruption in concentrate</t>
  </si>
  <si>
    <t xml:space="preserve">No</t>
  </si>
  <si>
    <t xml:space="preserve">Strong concentrate supply</t>
  </si>
  <si>
    <t xml:space="preserve">Surplus concentrate</t>
  </si>
  <si>
    <t xml:space="preserve">Severe tightness — smelter squeeze</t>
  </si>
  <si>
    <t xml:space="preserve">TBC — enter when confirmed</t>
  </si>
  <si>
    <t xml:space="preserve">Source: Fastmarkets / Metal Bulletin. Spot published weekly. Annual benchmark set early in calendar year (Jan/Feb) by major Chinese smelters vs major miners (Codelco precedent).</t>
  </si>
  <si>
    <t xml:space="preserve">Interpretation: Spot TC &lt; benchmark = concentrate is tight = bullish for metal price. Spot TC &gt; benchmark = surplus concentrate = bearish pressure on refined price.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</si>
</sst>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8"/>
      <color rgb="FF44444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8"/>
      <color rgb="FF66666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2E6DA4"/>
        <bgColor rgb="FF3366FF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2E6DA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B3A5C"/>
      <rgbColor rgb="FF339966"/>
      <rgbColor rgb="FF003300"/>
      <rgbColor rgb="FF444444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5" min="4" style="0" width="20"/>
    <col collapsed="false" customWidth="true" hidden="false" outlineLevel="0" max="7" min="6" style="0" width="18"/>
    <col collapsed="false" customWidth="true" hidden="false" outlineLevel="0" max="9" min="8" style="0" width="20"/>
    <col collapsed="false" customWidth="true" hidden="false" outlineLevel="0" max="10" min="10" style="0" width="35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1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customFormat="false" ht="16.5" hidden="false" customHeight="true" outlineLevel="0" collapsed="false">
      <c r="A4" s="4"/>
      <c r="B4" s="4"/>
      <c r="C4" s="4"/>
      <c r="D4" s="4"/>
      <c r="E4" s="4"/>
      <c r="F4" s="5" t="n">
        <f aca="false">IFERROR(B4-D4,"")</f>
        <v>0</v>
      </c>
      <c r="G4" s="5" t="n">
        <f aca="false">IFERROR(C4-E4,"")</f>
        <v>0</v>
      </c>
      <c r="H4" s="4"/>
      <c r="I4" s="4"/>
      <c r="J4" s="6"/>
    </row>
    <row r="5" customFormat="false" ht="16.5" hidden="false" customHeight="true" outlineLevel="0" collapsed="false">
      <c r="A5" s="7"/>
      <c r="B5" s="7"/>
      <c r="C5" s="7"/>
      <c r="D5" s="7"/>
      <c r="E5" s="7"/>
      <c r="F5" s="8" t="n">
        <f aca="false">IFERROR(B5-D5,"")</f>
        <v>0</v>
      </c>
      <c r="G5" s="8" t="n">
        <f aca="false">IFERROR(C5-E5,"")</f>
        <v>0</v>
      </c>
      <c r="H5" s="7"/>
      <c r="I5" s="7"/>
      <c r="J5" s="9"/>
    </row>
    <row r="6" customFormat="false" ht="16.5" hidden="false" customHeight="true" outlineLevel="0" collapsed="false">
      <c r="A6" s="4"/>
      <c r="B6" s="4"/>
      <c r="C6" s="4"/>
      <c r="D6" s="4"/>
      <c r="E6" s="4"/>
      <c r="F6" s="5" t="n">
        <f aca="false">IFERROR(B6-D6,"")</f>
        <v>0</v>
      </c>
      <c r="G6" s="5" t="n">
        <f aca="false">IFERROR(C6-E6,"")</f>
        <v>0</v>
      </c>
      <c r="H6" s="4"/>
      <c r="I6" s="4"/>
      <c r="J6" s="6"/>
    </row>
    <row r="7" customFormat="false" ht="16.5" hidden="false" customHeight="true" outlineLevel="0" collapsed="false">
      <c r="A7" s="7"/>
      <c r="B7" s="7"/>
      <c r="C7" s="7"/>
      <c r="D7" s="7"/>
      <c r="E7" s="7"/>
      <c r="F7" s="8" t="n">
        <f aca="false">IFERROR(B7-D7,"")</f>
        <v>0</v>
      </c>
      <c r="G7" s="8" t="n">
        <f aca="false">IFERROR(C7-E7,"")</f>
        <v>0</v>
      </c>
      <c r="H7" s="7"/>
      <c r="I7" s="7"/>
      <c r="J7" s="9"/>
    </row>
    <row r="8" customFormat="false" ht="16.5" hidden="false" customHeight="true" outlineLevel="0" collapsed="false">
      <c r="A8" s="4"/>
      <c r="B8" s="4"/>
      <c r="C8" s="4"/>
      <c r="D8" s="4"/>
      <c r="E8" s="4"/>
      <c r="F8" s="5" t="n">
        <f aca="false">IFERROR(B8-D8,"")</f>
        <v>0</v>
      </c>
      <c r="G8" s="5" t="n">
        <f aca="false">IFERROR(C8-E8,"")</f>
        <v>0</v>
      </c>
      <c r="H8" s="4"/>
      <c r="I8" s="4"/>
      <c r="J8" s="6"/>
    </row>
    <row r="9" customFormat="false" ht="16.5" hidden="false" customHeight="true" outlineLevel="0" collapsed="false">
      <c r="A9" s="7"/>
      <c r="B9" s="7"/>
      <c r="C9" s="7"/>
      <c r="D9" s="7"/>
      <c r="E9" s="7"/>
      <c r="F9" s="8" t="n">
        <f aca="false">IFERROR(B9-D9,"")</f>
        <v>0</v>
      </c>
      <c r="G9" s="8" t="n">
        <f aca="false">IFERROR(C9-E9,"")</f>
        <v>0</v>
      </c>
      <c r="H9" s="7"/>
      <c r="I9" s="7"/>
      <c r="J9" s="9"/>
    </row>
    <row r="10" customFormat="false" ht="16.5" hidden="false" customHeight="true" outlineLevel="0" collapsed="false">
      <c r="A10" s="4"/>
      <c r="B10" s="4"/>
      <c r="C10" s="4"/>
      <c r="D10" s="4"/>
      <c r="E10" s="4"/>
      <c r="F10" s="5" t="n">
        <f aca="false">IFERROR(B10-D10,"")</f>
        <v>0</v>
      </c>
      <c r="G10" s="5" t="n">
        <f aca="false">IFERROR(C10-E10,"")</f>
        <v>0</v>
      </c>
      <c r="H10" s="4"/>
      <c r="I10" s="4"/>
      <c r="J10" s="6"/>
    </row>
    <row r="11" customFormat="false" ht="16.5" hidden="false" customHeight="true" outlineLevel="0" collapsed="false">
      <c r="A11" s="7"/>
      <c r="B11" s="7"/>
      <c r="C11" s="7"/>
      <c r="D11" s="7"/>
      <c r="E11" s="7"/>
      <c r="F11" s="8" t="n">
        <f aca="false">IFERROR(B11-D11,"")</f>
        <v>0</v>
      </c>
      <c r="G11" s="8" t="n">
        <f aca="false">IFERROR(C11-E11,"")</f>
        <v>0</v>
      </c>
      <c r="H11" s="7"/>
      <c r="I11" s="7"/>
      <c r="J11" s="9"/>
    </row>
    <row r="12" customFormat="false" ht="16.5" hidden="false" customHeight="true" outlineLevel="0" collapsed="false">
      <c r="A12" s="4"/>
      <c r="B12" s="4"/>
      <c r="C12" s="4"/>
      <c r="D12" s="4"/>
      <c r="E12" s="4"/>
      <c r="F12" s="5" t="n">
        <f aca="false">IFERROR(B12-D12,"")</f>
        <v>0</v>
      </c>
      <c r="G12" s="5" t="n">
        <f aca="false">IFERROR(C12-E12,"")</f>
        <v>0</v>
      </c>
      <c r="H12" s="4"/>
      <c r="I12" s="4"/>
      <c r="J12" s="6"/>
    </row>
    <row r="13" customFormat="false" ht="16.5" hidden="false" customHeight="true" outlineLevel="0" collapsed="false">
      <c r="A13" s="7"/>
      <c r="B13" s="7"/>
      <c r="C13" s="7"/>
      <c r="D13" s="7"/>
      <c r="E13" s="7"/>
      <c r="F13" s="8" t="n">
        <f aca="false">IFERROR(B13-D13,"")</f>
        <v>0</v>
      </c>
      <c r="G13" s="8" t="n">
        <f aca="false">IFERROR(C13-E13,"")</f>
        <v>0</v>
      </c>
      <c r="H13" s="7"/>
      <c r="I13" s="7"/>
      <c r="J13" s="9"/>
    </row>
    <row r="14" customFormat="false" ht="16.5" hidden="false" customHeight="true" outlineLevel="0" collapsed="false">
      <c r="A14" s="4"/>
      <c r="B14" s="4"/>
      <c r="C14" s="4"/>
      <c r="D14" s="4"/>
      <c r="E14" s="4"/>
      <c r="F14" s="5" t="n">
        <f aca="false">IFERROR(B14-D14,"")</f>
        <v>0</v>
      </c>
      <c r="G14" s="5" t="n">
        <f aca="false">IFERROR(C14-E14,"")</f>
        <v>0</v>
      </c>
      <c r="H14" s="4"/>
      <c r="I14" s="4"/>
      <c r="J14" s="6"/>
    </row>
    <row r="15" customFormat="false" ht="16.5" hidden="false" customHeight="true" outlineLevel="0" collapsed="false">
      <c r="A15" s="7"/>
      <c r="B15" s="7"/>
      <c r="C15" s="7"/>
      <c r="D15" s="7"/>
      <c r="E15" s="7"/>
      <c r="F15" s="8" t="n">
        <f aca="false">IFERROR(B15-D15,"")</f>
        <v>0</v>
      </c>
      <c r="G15" s="8" t="n">
        <f aca="false">IFERROR(C15-E15,"")</f>
        <v>0</v>
      </c>
      <c r="H15" s="7"/>
      <c r="I15" s="7"/>
      <c r="J15" s="9"/>
    </row>
    <row r="16" customFormat="false" ht="16.5" hidden="false" customHeight="true" outlineLevel="0" collapsed="false">
      <c r="A16" s="4"/>
      <c r="B16" s="4"/>
      <c r="C16" s="4"/>
      <c r="D16" s="4"/>
      <c r="E16" s="4"/>
      <c r="F16" s="5" t="n">
        <f aca="false">IFERROR(B16-D16,"")</f>
        <v>0</v>
      </c>
      <c r="G16" s="5" t="n">
        <f aca="false">IFERROR(C16-E16,"")</f>
        <v>0</v>
      </c>
      <c r="H16" s="4"/>
      <c r="I16" s="4"/>
      <c r="J16" s="6"/>
    </row>
    <row r="17" customFormat="false" ht="16.5" hidden="false" customHeight="true" outlineLevel="0" collapsed="false">
      <c r="A17" s="7"/>
      <c r="B17" s="7"/>
      <c r="C17" s="7"/>
      <c r="D17" s="7"/>
      <c r="E17" s="7"/>
      <c r="F17" s="8" t="n">
        <f aca="false">IFERROR(B17-D17,"")</f>
        <v>0</v>
      </c>
      <c r="G17" s="8" t="n">
        <f aca="false">IFERROR(C17-E17,"")</f>
        <v>0</v>
      </c>
      <c r="H17" s="7"/>
      <c r="I17" s="7"/>
      <c r="J17" s="9"/>
    </row>
    <row r="18" customFormat="false" ht="16.5" hidden="false" customHeight="true" outlineLevel="0" collapsed="false">
      <c r="A18" s="4"/>
      <c r="B18" s="4"/>
      <c r="C18" s="4"/>
      <c r="D18" s="4"/>
      <c r="E18" s="4"/>
      <c r="F18" s="5" t="n">
        <f aca="false">IFERROR(B18-D18,"")</f>
        <v>0</v>
      </c>
      <c r="G18" s="5" t="n">
        <f aca="false">IFERROR(C18-E18,"")</f>
        <v>0</v>
      </c>
      <c r="H18" s="4"/>
      <c r="I18" s="4"/>
      <c r="J18" s="6"/>
    </row>
    <row r="19" customFormat="false" ht="16.5" hidden="false" customHeight="true" outlineLevel="0" collapsed="false">
      <c r="A19" s="7"/>
      <c r="B19" s="7"/>
      <c r="C19" s="7"/>
      <c r="D19" s="7"/>
      <c r="E19" s="7"/>
      <c r="F19" s="8" t="n">
        <f aca="false">IFERROR(B19-D19,"")</f>
        <v>0</v>
      </c>
      <c r="G19" s="8" t="n">
        <f aca="false">IFERROR(C19-E19,"")</f>
        <v>0</v>
      </c>
      <c r="H19" s="7"/>
      <c r="I19" s="7"/>
      <c r="J19" s="9"/>
    </row>
    <row r="20" customFormat="false" ht="16.5" hidden="false" customHeight="true" outlineLevel="0" collapsed="false">
      <c r="A20" s="4"/>
      <c r="B20" s="4"/>
      <c r="C20" s="4"/>
      <c r="D20" s="4"/>
      <c r="E20" s="4"/>
      <c r="F20" s="5" t="n">
        <f aca="false">IFERROR(B20-D20,"")</f>
        <v>0</v>
      </c>
      <c r="G20" s="5" t="n">
        <f aca="false">IFERROR(C20-E20,"")</f>
        <v>0</v>
      </c>
      <c r="H20" s="4"/>
      <c r="I20" s="4"/>
      <c r="J20" s="6"/>
    </row>
    <row r="21" customFormat="false" ht="16.5" hidden="false" customHeight="true" outlineLevel="0" collapsed="false">
      <c r="A21" s="7"/>
      <c r="B21" s="7"/>
      <c r="C21" s="7"/>
      <c r="D21" s="7"/>
      <c r="E21" s="7"/>
      <c r="F21" s="8" t="n">
        <f aca="false">IFERROR(B21-D21,"")</f>
        <v>0</v>
      </c>
      <c r="G21" s="8" t="n">
        <f aca="false">IFERROR(C21-E21,"")</f>
        <v>0</v>
      </c>
      <c r="H21" s="7"/>
      <c r="I21" s="7"/>
      <c r="J21" s="9"/>
    </row>
    <row r="22" customFormat="false" ht="16.5" hidden="false" customHeight="true" outlineLevel="0" collapsed="false">
      <c r="A22" s="4"/>
      <c r="B22" s="4"/>
      <c r="C22" s="4"/>
      <c r="D22" s="4"/>
      <c r="E22" s="4"/>
      <c r="F22" s="5" t="n">
        <f aca="false">IFERROR(B22-D22,"")</f>
        <v>0</v>
      </c>
      <c r="G22" s="5" t="n">
        <f aca="false">IFERROR(C22-E22,"")</f>
        <v>0</v>
      </c>
      <c r="H22" s="4"/>
      <c r="I22" s="4"/>
      <c r="J22" s="6"/>
    </row>
    <row r="23" customFormat="false" ht="16.5" hidden="false" customHeight="true" outlineLevel="0" collapsed="false">
      <c r="A23" s="7"/>
      <c r="B23" s="7"/>
      <c r="C23" s="7"/>
      <c r="D23" s="7"/>
      <c r="E23" s="7"/>
      <c r="F23" s="8" t="n">
        <f aca="false">IFERROR(B23-D23,"")</f>
        <v>0</v>
      </c>
      <c r="G23" s="8" t="n">
        <f aca="false">IFERROR(C23-E23,"")</f>
        <v>0</v>
      </c>
      <c r="H23" s="7"/>
      <c r="I23" s="7"/>
      <c r="J23" s="9"/>
    </row>
    <row r="24" customFormat="false" ht="16.5" hidden="false" customHeight="true" outlineLevel="0" collapsed="false">
      <c r="A24" s="4"/>
      <c r="B24" s="4"/>
      <c r="C24" s="4"/>
      <c r="D24" s="4"/>
      <c r="E24" s="4"/>
      <c r="F24" s="5" t="n">
        <f aca="false">IFERROR(B24-D24,"")</f>
        <v>0</v>
      </c>
      <c r="G24" s="5" t="n">
        <f aca="false">IFERROR(C24-E24,"")</f>
        <v>0</v>
      </c>
      <c r="H24" s="4"/>
      <c r="I24" s="4"/>
      <c r="J24" s="6"/>
    </row>
    <row r="25" customFormat="false" ht="16.5" hidden="false" customHeight="true" outlineLevel="0" collapsed="false">
      <c r="A25" s="7"/>
      <c r="B25" s="7"/>
      <c r="C25" s="7"/>
      <c r="D25" s="7"/>
      <c r="E25" s="7"/>
      <c r="F25" s="8" t="n">
        <f aca="false">IFERROR(B25-D25,"")</f>
        <v>0</v>
      </c>
      <c r="G25" s="8" t="n">
        <f aca="false">IFERROR(C25-E25,"")</f>
        <v>0</v>
      </c>
      <c r="H25" s="7"/>
      <c r="I25" s="7"/>
      <c r="J25" s="9"/>
    </row>
    <row r="26" customFormat="false" ht="16.5" hidden="false" customHeight="true" outlineLevel="0" collapsed="false">
      <c r="A26" s="4"/>
      <c r="B26" s="4"/>
      <c r="C26" s="4"/>
      <c r="D26" s="4"/>
      <c r="E26" s="4"/>
      <c r="F26" s="5" t="n">
        <f aca="false">IFERROR(B26-D26,"")</f>
        <v>0</v>
      </c>
      <c r="G26" s="5" t="n">
        <f aca="false">IFERROR(C26-E26,"")</f>
        <v>0</v>
      </c>
      <c r="H26" s="4"/>
      <c r="I26" s="4"/>
      <c r="J26" s="6"/>
    </row>
    <row r="27" customFormat="false" ht="16.5" hidden="false" customHeight="true" outlineLevel="0" collapsed="false">
      <c r="A27" s="7"/>
      <c r="B27" s="7"/>
      <c r="C27" s="7"/>
      <c r="D27" s="7"/>
      <c r="E27" s="7"/>
      <c r="F27" s="8" t="n">
        <f aca="false">IFERROR(B27-D27,"")</f>
        <v>0</v>
      </c>
      <c r="G27" s="8" t="n">
        <f aca="false">IFERROR(C27-E27,"")</f>
        <v>0</v>
      </c>
      <c r="H27" s="7"/>
      <c r="I27" s="7"/>
      <c r="J27" s="9"/>
    </row>
    <row r="28" customFormat="false" ht="16.5" hidden="false" customHeight="true" outlineLevel="0" collapsed="false">
      <c r="A28" s="4"/>
      <c r="B28" s="4"/>
      <c r="C28" s="4"/>
      <c r="D28" s="4"/>
      <c r="E28" s="4"/>
      <c r="F28" s="5" t="n">
        <f aca="false">IFERROR(B28-D28,"")</f>
        <v>0</v>
      </c>
      <c r="G28" s="5" t="n">
        <f aca="false">IFERROR(C28-E28,"")</f>
        <v>0</v>
      </c>
      <c r="H28" s="4"/>
      <c r="I28" s="4"/>
      <c r="J28" s="6"/>
    </row>
    <row r="29" customFormat="false" ht="16.5" hidden="false" customHeight="true" outlineLevel="0" collapsed="false">
      <c r="A29" s="7"/>
      <c r="B29" s="7"/>
      <c r="C29" s="7"/>
      <c r="D29" s="7"/>
      <c r="E29" s="7"/>
      <c r="F29" s="8" t="n">
        <f aca="false">IFERROR(B29-D29,"")</f>
        <v>0</v>
      </c>
      <c r="G29" s="8" t="n">
        <f aca="false">IFERROR(C29-E29,"")</f>
        <v>0</v>
      </c>
      <c r="H29" s="7"/>
      <c r="I29" s="7"/>
      <c r="J29" s="9"/>
    </row>
    <row r="30" customFormat="false" ht="16.5" hidden="false" customHeight="true" outlineLevel="0" collapsed="false">
      <c r="A30" s="4"/>
      <c r="B30" s="4"/>
      <c r="C30" s="4"/>
      <c r="D30" s="4"/>
      <c r="E30" s="4"/>
      <c r="F30" s="5" t="n">
        <f aca="false">IFERROR(B30-D30,"")</f>
        <v>0</v>
      </c>
      <c r="G30" s="5" t="n">
        <f aca="false">IFERROR(C30-E30,"")</f>
        <v>0</v>
      </c>
      <c r="H30" s="4"/>
      <c r="I30" s="4"/>
      <c r="J30" s="6"/>
    </row>
    <row r="31" customFormat="false" ht="16.5" hidden="false" customHeight="true" outlineLevel="0" collapsed="false">
      <c r="A31" s="7"/>
      <c r="B31" s="7"/>
      <c r="C31" s="7"/>
      <c r="D31" s="7"/>
      <c r="E31" s="7"/>
      <c r="F31" s="8" t="n">
        <f aca="false">IFERROR(B31-D31,"")</f>
        <v>0</v>
      </c>
      <c r="G31" s="8" t="n">
        <f aca="false">IFERROR(C31-E31,"")</f>
        <v>0</v>
      </c>
      <c r="H31" s="7"/>
      <c r="I31" s="7"/>
      <c r="J31" s="9"/>
    </row>
    <row r="32" customFormat="false" ht="16.5" hidden="false" customHeight="true" outlineLevel="0" collapsed="false">
      <c r="A32" s="4"/>
      <c r="B32" s="4"/>
      <c r="C32" s="4"/>
      <c r="D32" s="4"/>
      <c r="E32" s="4"/>
      <c r="F32" s="5" t="n">
        <f aca="false">IFERROR(B32-D32,"")</f>
        <v>0</v>
      </c>
      <c r="G32" s="5" t="n">
        <f aca="false">IFERROR(C32-E32,"")</f>
        <v>0</v>
      </c>
      <c r="H32" s="4"/>
      <c r="I32" s="4"/>
      <c r="J32" s="6"/>
    </row>
    <row r="33" customFormat="false" ht="16.5" hidden="false" customHeight="true" outlineLevel="0" collapsed="false">
      <c r="A33" s="7"/>
      <c r="B33" s="7"/>
      <c r="C33" s="7"/>
      <c r="D33" s="7"/>
      <c r="E33" s="7"/>
      <c r="F33" s="8" t="n">
        <f aca="false">IFERROR(B33-D33,"")</f>
        <v>0</v>
      </c>
      <c r="G33" s="8" t="n">
        <f aca="false">IFERROR(C33-E33,"")</f>
        <v>0</v>
      </c>
      <c r="H33" s="7"/>
      <c r="I33" s="7"/>
      <c r="J33" s="9"/>
    </row>
    <row r="34" customFormat="false" ht="16.5" hidden="false" customHeight="true" outlineLevel="0" collapsed="false">
      <c r="A34" s="4"/>
      <c r="B34" s="4"/>
      <c r="C34" s="4"/>
      <c r="D34" s="4"/>
      <c r="E34" s="4"/>
      <c r="F34" s="5" t="n">
        <f aca="false">IFERROR(B34-D34,"")</f>
        <v>0</v>
      </c>
      <c r="G34" s="5" t="n">
        <f aca="false">IFERROR(C34-E34,"")</f>
        <v>0</v>
      </c>
      <c r="H34" s="4"/>
      <c r="I34" s="4"/>
      <c r="J34" s="6"/>
    </row>
    <row r="35" customFormat="false" ht="16.5" hidden="false" customHeight="true" outlineLevel="0" collapsed="false">
      <c r="A35" s="7"/>
      <c r="B35" s="7"/>
      <c r="C35" s="7"/>
      <c r="D35" s="7"/>
      <c r="E35" s="7"/>
      <c r="F35" s="8" t="n">
        <f aca="false">IFERROR(B35-D35,"")</f>
        <v>0</v>
      </c>
      <c r="G35" s="8" t="n">
        <f aca="false">IFERROR(C35-E35,"")</f>
        <v>0</v>
      </c>
      <c r="H35" s="7"/>
      <c r="I35" s="7"/>
      <c r="J35" s="9"/>
    </row>
    <row r="36" customFormat="false" ht="16.5" hidden="false" customHeight="true" outlineLevel="0" collapsed="false">
      <c r="A36" s="4"/>
      <c r="B36" s="4"/>
      <c r="C36" s="4"/>
      <c r="D36" s="4"/>
      <c r="E36" s="4"/>
      <c r="F36" s="5" t="n">
        <f aca="false">IFERROR(B36-D36,"")</f>
        <v>0</v>
      </c>
      <c r="G36" s="5" t="n">
        <f aca="false">IFERROR(C36-E36,"")</f>
        <v>0</v>
      </c>
      <c r="H36" s="4"/>
      <c r="I36" s="4"/>
      <c r="J36" s="6"/>
    </row>
    <row r="37" customFormat="false" ht="16.5" hidden="false" customHeight="true" outlineLevel="0" collapsed="false">
      <c r="A37" s="7"/>
      <c r="B37" s="7"/>
      <c r="C37" s="7"/>
      <c r="D37" s="7"/>
      <c r="E37" s="7"/>
      <c r="F37" s="8" t="n">
        <f aca="false">IFERROR(B37-D37,"")</f>
        <v>0</v>
      </c>
      <c r="G37" s="8" t="n">
        <f aca="false">IFERROR(C37-E37,"")</f>
        <v>0</v>
      </c>
      <c r="H37" s="7"/>
      <c r="I37" s="7"/>
      <c r="J37" s="9"/>
    </row>
    <row r="38" customFormat="false" ht="16.5" hidden="false" customHeight="true" outlineLevel="0" collapsed="false">
      <c r="A38" s="4"/>
      <c r="B38" s="4"/>
      <c r="C38" s="4"/>
      <c r="D38" s="4"/>
      <c r="E38" s="4"/>
      <c r="F38" s="5" t="n">
        <f aca="false">IFERROR(B38-D38,"")</f>
        <v>0</v>
      </c>
      <c r="G38" s="5" t="n">
        <f aca="false">IFERROR(C38-E38,"")</f>
        <v>0</v>
      </c>
      <c r="H38" s="4"/>
      <c r="I38" s="4"/>
      <c r="J38" s="6"/>
    </row>
    <row r="39" customFormat="false" ht="16.5" hidden="false" customHeight="true" outlineLevel="0" collapsed="false">
      <c r="A39" s="7"/>
      <c r="B39" s="7"/>
      <c r="C39" s="7"/>
      <c r="D39" s="7"/>
      <c r="E39" s="7"/>
      <c r="F39" s="8" t="n">
        <f aca="false">IFERROR(B39-D39,"")</f>
        <v>0</v>
      </c>
      <c r="G39" s="8" t="n">
        <f aca="false">IFERROR(C39-E39,"")</f>
        <v>0</v>
      </c>
      <c r="H39" s="7"/>
      <c r="I39" s="7"/>
      <c r="J39" s="9"/>
    </row>
    <row r="40" customFormat="false" ht="16.5" hidden="false" customHeight="true" outlineLevel="0" collapsed="false">
      <c r="A40" s="4"/>
      <c r="B40" s="4"/>
      <c r="C40" s="4"/>
      <c r="D40" s="4"/>
      <c r="E40" s="4"/>
      <c r="F40" s="5" t="n">
        <f aca="false">IFERROR(B40-D40,"")</f>
        <v>0</v>
      </c>
      <c r="G40" s="5" t="n">
        <f aca="false">IFERROR(C40-E40,"")</f>
        <v>0</v>
      </c>
      <c r="H40" s="4"/>
      <c r="I40" s="4"/>
      <c r="J40" s="6"/>
    </row>
    <row r="41" customFormat="false" ht="16.5" hidden="false" customHeight="true" outlineLevel="0" collapsed="false">
      <c r="A41" s="7"/>
      <c r="B41" s="7"/>
      <c r="C41" s="7"/>
      <c r="D41" s="7"/>
      <c r="E41" s="7"/>
      <c r="F41" s="8" t="n">
        <f aca="false">IFERROR(B41-D41,"")</f>
        <v>0</v>
      </c>
      <c r="G41" s="8" t="n">
        <f aca="false">IFERROR(C41-E41,"")</f>
        <v>0</v>
      </c>
      <c r="H41" s="7"/>
      <c r="I41" s="7"/>
      <c r="J41" s="9"/>
    </row>
    <row r="42" customFormat="false" ht="16.5" hidden="false" customHeight="true" outlineLevel="0" collapsed="false">
      <c r="A42" s="4"/>
      <c r="B42" s="4"/>
      <c r="C42" s="4"/>
      <c r="D42" s="4"/>
      <c r="E42" s="4"/>
      <c r="F42" s="5" t="n">
        <f aca="false">IFERROR(B42-D42,"")</f>
        <v>0</v>
      </c>
      <c r="G42" s="5" t="n">
        <f aca="false">IFERROR(C42-E42,"")</f>
        <v>0</v>
      </c>
      <c r="H42" s="4"/>
      <c r="I42" s="4"/>
      <c r="J42" s="6"/>
    </row>
    <row r="43" customFormat="false" ht="16.5" hidden="false" customHeight="true" outlineLevel="0" collapsed="false">
      <c r="A43" s="7"/>
      <c r="B43" s="7"/>
      <c r="C43" s="7"/>
      <c r="D43" s="7"/>
      <c r="E43" s="7"/>
      <c r="F43" s="8" t="n">
        <f aca="false">IFERROR(B43-D43,"")</f>
        <v>0</v>
      </c>
      <c r="G43" s="8" t="n">
        <f aca="false">IFERROR(C43-E43,"")</f>
        <v>0</v>
      </c>
      <c r="H43" s="7"/>
      <c r="I43" s="7"/>
      <c r="J43" s="9"/>
    </row>
    <row r="44" customFormat="false" ht="16.5" hidden="false" customHeight="true" outlineLevel="0" collapsed="false">
      <c r="A44" s="4"/>
      <c r="B44" s="4"/>
      <c r="C44" s="4"/>
      <c r="D44" s="4"/>
      <c r="E44" s="4"/>
      <c r="F44" s="5" t="n">
        <f aca="false">IFERROR(B44-D44,"")</f>
        <v>0</v>
      </c>
      <c r="G44" s="5" t="n">
        <f aca="false">IFERROR(C44-E44,"")</f>
        <v>0</v>
      </c>
      <c r="H44" s="4"/>
      <c r="I44" s="4"/>
      <c r="J44" s="6"/>
    </row>
    <row r="45" customFormat="false" ht="16.5" hidden="false" customHeight="true" outlineLevel="0" collapsed="false">
      <c r="A45" s="7"/>
      <c r="B45" s="7"/>
      <c r="C45" s="7"/>
      <c r="D45" s="7"/>
      <c r="E45" s="7"/>
      <c r="F45" s="8" t="n">
        <f aca="false">IFERROR(B45-D45,"")</f>
        <v>0</v>
      </c>
      <c r="G45" s="8" t="n">
        <f aca="false">IFERROR(C45-E45,"")</f>
        <v>0</v>
      </c>
      <c r="H45" s="7"/>
      <c r="I45" s="7"/>
      <c r="J45" s="9"/>
    </row>
    <row r="46" customFormat="false" ht="16.5" hidden="false" customHeight="true" outlineLevel="0" collapsed="false">
      <c r="A46" s="4"/>
      <c r="B46" s="4"/>
      <c r="C46" s="4"/>
      <c r="D46" s="4"/>
      <c r="E46" s="4"/>
      <c r="F46" s="5" t="n">
        <f aca="false">IFERROR(B46-D46,"")</f>
        <v>0</v>
      </c>
      <c r="G46" s="5" t="n">
        <f aca="false">IFERROR(C46-E46,"")</f>
        <v>0</v>
      </c>
      <c r="H46" s="4"/>
      <c r="I46" s="4"/>
      <c r="J46" s="6"/>
    </row>
    <row r="47" customFormat="false" ht="16.5" hidden="false" customHeight="true" outlineLevel="0" collapsed="false">
      <c r="A47" s="7"/>
      <c r="B47" s="7"/>
      <c r="C47" s="7"/>
      <c r="D47" s="7"/>
      <c r="E47" s="7"/>
      <c r="F47" s="8" t="n">
        <f aca="false">IFERROR(B47-D47,"")</f>
        <v>0</v>
      </c>
      <c r="G47" s="8" t="n">
        <f aca="false">IFERROR(C47-E47,"")</f>
        <v>0</v>
      </c>
      <c r="H47" s="7"/>
      <c r="I47" s="7"/>
      <c r="J47" s="9"/>
    </row>
    <row r="48" customFormat="false" ht="16.5" hidden="false" customHeight="true" outlineLevel="0" collapsed="false">
      <c r="A48" s="4"/>
      <c r="B48" s="4"/>
      <c r="C48" s="4"/>
      <c r="D48" s="4"/>
      <c r="E48" s="4"/>
      <c r="F48" s="5" t="n">
        <f aca="false">IFERROR(B48-D48,"")</f>
        <v>0</v>
      </c>
      <c r="G48" s="5" t="n">
        <f aca="false">IFERROR(C48-E48,"")</f>
        <v>0</v>
      </c>
      <c r="H48" s="4"/>
      <c r="I48" s="4"/>
      <c r="J48" s="6"/>
    </row>
    <row r="49" customFormat="false" ht="16.5" hidden="false" customHeight="true" outlineLevel="0" collapsed="false">
      <c r="A49" s="7"/>
      <c r="B49" s="7"/>
      <c r="C49" s="7"/>
      <c r="D49" s="7"/>
      <c r="E49" s="7"/>
      <c r="F49" s="8" t="n">
        <f aca="false">IFERROR(B49-D49,"")</f>
        <v>0</v>
      </c>
      <c r="G49" s="8" t="n">
        <f aca="false">IFERROR(C49-E49,"")</f>
        <v>0</v>
      </c>
      <c r="H49" s="7"/>
      <c r="I49" s="7"/>
      <c r="J49" s="9"/>
    </row>
    <row r="50" customFormat="false" ht="16.5" hidden="false" customHeight="true" outlineLevel="0" collapsed="false">
      <c r="A50" s="4"/>
      <c r="B50" s="4"/>
      <c r="C50" s="4"/>
      <c r="D50" s="4"/>
      <c r="E50" s="4"/>
      <c r="F50" s="5" t="n">
        <f aca="false">IFERROR(B50-D50,"")</f>
        <v>0</v>
      </c>
      <c r="G50" s="5" t="n">
        <f aca="false">IFERROR(C50-E50,"")</f>
        <v>0</v>
      </c>
      <c r="H50" s="4"/>
      <c r="I50" s="4"/>
      <c r="J50" s="6"/>
    </row>
    <row r="51" customFormat="false" ht="16.5" hidden="false" customHeight="true" outlineLevel="0" collapsed="false">
      <c r="A51" s="7"/>
      <c r="B51" s="7"/>
      <c r="C51" s="7"/>
      <c r="D51" s="7"/>
      <c r="E51" s="7"/>
      <c r="F51" s="8" t="n">
        <f aca="false">IFERROR(B51-D51,"")</f>
        <v>0</v>
      </c>
      <c r="G51" s="8" t="n">
        <f aca="false">IFERROR(C51-E51,"")</f>
        <v>0</v>
      </c>
      <c r="H51" s="7"/>
      <c r="I51" s="7"/>
      <c r="J51" s="9"/>
    </row>
    <row r="52" customFormat="false" ht="16.5" hidden="false" customHeight="true" outlineLevel="0" collapsed="false">
      <c r="A52" s="4"/>
      <c r="B52" s="4"/>
      <c r="C52" s="4"/>
      <c r="D52" s="4"/>
      <c r="E52" s="4"/>
      <c r="F52" s="5" t="n">
        <f aca="false">IFERROR(B52-D52,"")</f>
        <v>0</v>
      </c>
      <c r="G52" s="5" t="n">
        <f aca="false">IFERROR(C52-E52,"")</f>
        <v>0</v>
      </c>
      <c r="H52" s="4"/>
      <c r="I52" s="4"/>
      <c r="J52" s="6"/>
    </row>
    <row r="53" customFormat="false" ht="16.5" hidden="false" customHeight="true" outlineLevel="0" collapsed="false">
      <c r="A53" s="7"/>
      <c r="B53" s="7"/>
      <c r="C53" s="7"/>
      <c r="D53" s="7"/>
      <c r="E53" s="7"/>
      <c r="F53" s="8" t="n">
        <f aca="false">IFERROR(B53-D53,"")</f>
        <v>0</v>
      </c>
      <c r="G53" s="8" t="n">
        <f aca="false">IFERROR(C53-E53,"")</f>
        <v>0</v>
      </c>
      <c r="H53" s="7"/>
      <c r="I53" s="7"/>
      <c r="J53" s="9"/>
    </row>
    <row r="54" customFormat="false" ht="16.5" hidden="false" customHeight="true" outlineLevel="0" collapsed="false">
      <c r="A54" s="4"/>
      <c r="B54" s="4"/>
      <c r="C54" s="4"/>
      <c r="D54" s="4"/>
      <c r="E54" s="4"/>
      <c r="F54" s="5" t="n">
        <f aca="false">IFERROR(B54-D54,"")</f>
        <v>0</v>
      </c>
      <c r="G54" s="5" t="n">
        <f aca="false">IFERROR(C54-E54,"")</f>
        <v>0</v>
      </c>
      <c r="H54" s="4"/>
      <c r="I54" s="4"/>
      <c r="J54" s="6"/>
    </row>
    <row r="55" customFormat="false" ht="16.5" hidden="false" customHeight="true" outlineLevel="0" collapsed="false">
      <c r="A55" s="7"/>
      <c r="B55" s="7"/>
      <c r="C55" s="7"/>
      <c r="D55" s="7"/>
      <c r="E55" s="7"/>
      <c r="F55" s="8" t="n">
        <f aca="false">IFERROR(B55-D55,"")</f>
        <v>0</v>
      </c>
      <c r="G55" s="8" t="n">
        <f aca="false">IFERROR(C55-E55,"")</f>
        <v>0</v>
      </c>
      <c r="H55" s="7"/>
      <c r="I55" s="7"/>
      <c r="J55" s="9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18"/>
    <col collapsed="false" customWidth="true" hidden="false" outlineLevel="0" max="5" min="5" style="0" width="40"/>
  </cols>
  <sheetData>
    <row r="1" customFormat="false" ht="25.5" hidden="false" customHeight="true" outlineLevel="0" collapsed="false">
      <c r="A1" s="10" t="s">
        <v>12</v>
      </c>
      <c r="B1" s="10"/>
      <c r="C1" s="10"/>
      <c r="D1" s="10"/>
      <c r="E1" s="10"/>
    </row>
    <row r="2" customFormat="false" ht="15" hidden="false" customHeight="false" outlineLevel="0" collapsed="false">
      <c r="A2" s="11" t="s">
        <v>13</v>
      </c>
      <c r="B2" s="11" t="s">
        <v>14</v>
      </c>
      <c r="C2" s="11" t="s">
        <v>15</v>
      </c>
      <c r="D2" s="11" t="s">
        <v>16</v>
      </c>
      <c r="E2" s="11" t="s">
        <v>17</v>
      </c>
    </row>
    <row r="3" customFormat="false" ht="18" hidden="false" customHeight="true" outlineLevel="0" collapsed="false">
      <c r="A3" s="8" t="n">
        <v>2020</v>
      </c>
      <c r="B3" s="8" t="n">
        <v>62</v>
      </c>
      <c r="C3" s="8" t="n">
        <v>6.2</v>
      </c>
      <c r="D3" s="8" t="s">
        <v>18</v>
      </c>
      <c r="E3" s="8" t="s">
        <v>19</v>
      </c>
    </row>
    <row r="4" customFormat="false" ht="18" hidden="false" customHeight="true" outlineLevel="0" collapsed="false">
      <c r="A4" s="5" t="n">
        <v>2021</v>
      </c>
      <c r="B4" s="5" t="n">
        <v>60</v>
      </c>
      <c r="C4" s="5" t="n">
        <v>6</v>
      </c>
      <c r="D4" s="5" t="s">
        <v>18</v>
      </c>
      <c r="E4" s="5"/>
    </row>
    <row r="5" customFormat="false" ht="18" hidden="false" customHeight="true" outlineLevel="0" collapsed="false">
      <c r="A5" s="8" t="n">
        <v>2022</v>
      </c>
      <c r="B5" s="8" t="n">
        <v>65</v>
      </c>
      <c r="C5" s="8" t="n">
        <v>6.5</v>
      </c>
      <c r="D5" s="8" t="s">
        <v>20</v>
      </c>
      <c r="E5" s="8" t="s">
        <v>21</v>
      </c>
    </row>
    <row r="6" customFormat="false" ht="18" hidden="false" customHeight="true" outlineLevel="0" collapsed="false">
      <c r="A6" s="5" t="n">
        <v>2023</v>
      </c>
      <c r="B6" s="5" t="n">
        <v>80</v>
      </c>
      <c r="C6" s="5" t="n">
        <v>8</v>
      </c>
      <c r="D6" s="5" t="s">
        <v>20</v>
      </c>
      <c r="E6" s="5" t="s">
        <v>22</v>
      </c>
    </row>
    <row r="7" customFormat="false" ht="18" hidden="false" customHeight="true" outlineLevel="0" collapsed="false">
      <c r="A7" s="8" t="n">
        <v>2024</v>
      </c>
      <c r="B7" s="8" t="n">
        <v>23</v>
      </c>
      <c r="C7" s="8" t="n">
        <v>2.3</v>
      </c>
      <c r="D7" s="8" t="s">
        <v>20</v>
      </c>
      <c r="E7" s="8" t="s">
        <v>23</v>
      </c>
    </row>
    <row r="8" customFormat="false" ht="18" hidden="false" customHeight="true" outlineLevel="0" collapsed="false">
      <c r="A8" s="5" t="n">
        <v>2025</v>
      </c>
      <c r="B8" s="5"/>
      <c r="C8" s="5"/>
      <c r="D8" s="5"/>
      <c r="E8" s="5" t="s">
        <v>24</v>
      </c>
    </row>
    <row r="10" customFormat="false" ht="153.7" hidden="false" customHeight="false" outlineLevel="0" collapsed="false">
      <c r="A10" s="12" t="s">
        <v>25</v>
      </c>
    </row>
    <row r="11" customFormat="false" ht="126.85" hidden="false" customHeight="false" outlineLevel="0" collapsed="false">
      <c r="A11" s="12" t="s">
        <v>26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2026-02-24T01:09:07Z</dcterms:created>
  <dc:creator>openpyxl</dc:creator>
  <dc:description/>
  <dc:language>en-US</dc:language>
  <cp:lastModifiedBy/>
  <dcterms:modified xsi:type="dcterms:W3CDTF">2026-02-24T01:09:07Z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