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Trad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<sst xmlns="http://schemas.openxmlformats.org/spreadsheetml/2006/main" count="14" uniqueCount="14">
  <si>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Chinese Copper Imports/Exports — Monthly Tracker (GACC)</t>
  </si>
  <si>
    <t xml:space="preserve">Source: GACC (General Administration of Customs China) — customs.gov.cn | Interpretation: Import surge = demand signal | Export surge = arbitrage window</t>
  </si>
  <si>
    <t xml:space="preserve">Month</t>
  </si>
  <si>
    <t xml:space="preserve">Refined Cu Imports (t)</t>
  </si>
  <si>
    <t xml:space="preserve">Refined Cu Exports (t)</t>
  </si>
  <si>
    <t xml:space="preserve">Net Imports (t)</t>
  </si>
  <si>
    <t xml:space="preserve">YoY Imports %</t>
  </si>
  <si>
    <t xml:space="preserve">MoM Imports %</t>
  </si>
  <si>
    <t xml:space="preserve">Concentrate Imports (t)</t>
  </si>
  <si>
    <t xml:space="preserve">Scrap Imports (t)</t>
  </si>
  <si>
    <t xml:space="preserve">LME-SHFE Arb ($)</t>
  </si>
  <si>
    <t xml:space="preserve">Signal</t>
  </si>
  <si>
    <t xml:space="preserve">Bonded WHse Stock</t>
  </si>
  <si>
    <t xml:space="preserve">Notes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</si>
</sst>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-yyyy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33333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44444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6" min="4" style="0" width="16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6.5" hidden="false" customHeight="true" outlineLevel="0" collapsed="false">
      <c r="A4" s="4"/>
      <c r="B4" s="5"/>
      <c r="C4" s="5"/>
      <c r="D4" s="6" t="n">
        <f aca="false">IFERROR(B4-C4,"")</f>
        <v>0</v>
      </c>
      <c r="E4" s="7"/>
      <c r="F4" s="7"/>
      <c r="G4" s="5"/>
      <c r="H4" s="5"/>
      <c r="I4" s="5"/>
      <c r="J4" s="5"/>
      <c r="K4" s="5"/>
      <c r="L4" s="8"/>
    </row>
    <row r="5" customFormat="false" ht="16.5" hidden="false" customHeight="true" outlineLevel="0" collapsed="false">
      <c r="A5" s="9"/>
      <c r="B5" s="10"/>
      <c r="C5" s="10"/>
      <c r="D5" s="11" t="n">
        <f aca="false">IFERROR(B5-C5,"")</f>
        <v>0</v>
      </c>
      <c r="E5" s="12"/>
      <c r="F5" s="12" t="str">
        <f aca="false">IFERROR((B5-B4)/B4,"")</f>
        <v/>
      </c>
      <c r="G5" s="10"/>
      <c r="H5" s="10"/>
      <c r="I5" s="10"/>
      <c r="J5" s="10"/>
      <c r="K5" s="10"/>
      <c r="L5" s="13"/>
    </row>
    <row r="6" customFormat="false" ht="16.5" hidden="false" customHeight="true" outlineLevel="0" collapsed="false">
      <c r="A6" s="4"/>
      <c r="B6" s="5"/>
      <c r="C6" s="5"/>
      <c r="D6" s="6" t="n">
        <f aca="false">IFERROR(B6-C6,"")</f>
        <v>0</v>
      </c>
      <c r="E6" s="7"/>
      <c r="F6" s="7" t="str">
        <f aca="false">IFERROR((B6-B5)/B5,"")</f>
        <v/>
      </c>
      <c r="G6" s="5"/>
      <c r="H6" s="5"/>
      <c r="I6" s="5"/>
      <c r="J6" s="5"/>
      <c r="K6" s="5"/>
      <c r="L6" s="8"/>
    </row>
    <row r="7" customFormat="false" ht="16.5" hidden="false" customHeight="true" outlineLevel="0" collapsed="false">
      <c r="A7" s="9"/>
      <c r="B7" s="10"/>
      <c r="C7" s="10"/>
      <c r="D7" s="11" t="n">
        <f aca="false">IFERROR(B7-C7,"")</f>
        <v>0</v>
      </c>
      <c r="E7" s="12"/>
      <c r="F7" s="12" t="str">
        <f aca="false">IFERROR((B7-B6)/B6,"")</f>
        <v/>
      </c>
      <c r="G7" s="10"/>
      <c r="H7" s="10"/>
      <c r="I7" s="10"/>
      <c r="J7" s="10"/>
      <c r="K7" s="10"/>
      <c r="L7" s="13"/>
    </row>
    <row r="8" customFormat="false" ht="16.5" hidden="false" customHeight="true" outlineLevel="0" collapsed="false">
      <c r="A8" s="4"/>
      <c r="B8" s="5"/>
      <c r="C8" s="5"/>
      <c r="D8" s="6" t="n">
        <f aca="false">IFERROR(B8-C8,"")</f>
        <v>0</v>
      </c>
      <c r="E8" s="7"/>
      <c r="F8" s="7" t="str">
        <f aca="false">IFERROR((B8-B7)/B7,"")</f>
        <v/>
      </c>
      <c r="G8" s="5"/>
      <c r="H8" s="5"/>
      <c r="I8" s="5"/>
      <c r="J8" s="5"/>
      <c r="K8" s="5"/>
      <c r="L8" s="8"/>
    </row>
    <row r="9" customFormat="false" ht="16.5" hidden="false" customHeight="true" outlineLevel="0" collapsed="false">
      <c r="A9" s="9"/>
      <c r="B9" s="10"/>
      <c r="C9" s="10"/>
      <c r="D9" s="11" t="n">
        <f aca="false">IFERROR(B9-C9,"")</f>
        <v>0</v>
      </c>
      <c r="E9" s="12"/>
      <c r="F9" s="12" t="str">
        <f aca="false">IFERROR((B9-B8)/B8,"")</f>
        <v/>
      </c>
      <c r="G9" s="10"/>
      <c r="H9" s="10"/>
      <c r="I9" s="10"/>
      <c r="J9" s="10"/>
      <c r="K9" s="10"/>
      <c r="L9" s="13"/>
    </row>
    <row r="10" customFormat="false" ht="16.5" hidden="false" customHeight="true" outlineLevel="0" collapsed="false">
      <c r="A10" s="4"/>
      <c r="B10" s="5"/>
      <c r="C10" s="5"/>
      <c r="D10" s="6" t="n">
        <f aca="false">IFERROR(B10-C10,"")</f>
        <v>0</v>
      </c>
      <c r="E10" s="7"/>
      <c r="F10" s="7" t="str">
        <f aca="false">IFERROR((B10-B9)/B9,"")</f>
        <v/>
      </c>
      <c r="G10" s="5"/>
      <c r="H10" s="5"/>
      <c r="I10" s="5"/>
      <c r="J10" s="5"/>
      <c r="K10" s="5"/>
      <c r="L10" s="8"/>
    </row>
    <row r="11" customFormat="false" ht="16.5" hidden="false" customHeight="true" outlineLevel="0" collapsed="false">
      <c r="A11" s="9"/>
      <c r="B11" s="10"/>
      <c r="C11" s="10"/>
      <c r="D11" s="11" t="n">
        <f aca="false">IFERROR(B11-C11,"")</f>
        <v>0</v>
      </c>
      <c r="E11" s="12"/>
      <c r="F11" s="12" t="str">
        <f aca="false">IFERROR((B11-B10)/B10,"")</f>
        <v/>
      </c>
      <c r="G11" s="10"/>
      <c r="H11" s="10"/>
      <c r="I11" s="10"/>
      <c r="J11" s="10"/>
      <c r="K11" s="10"/>
      <c r="L11" s="13"/>
    </row>
    <row r="12" customFormat="false" ht="16.5" hidden="false" customHeight="true" outlineLevel="0" collapsed="false">
      <c r="A12" s="4"/>
      <c r="B12" s="5"/>
      <c r="C12" s="5"/>
      <c r="D12" s="6" t="n">
        <f aca="false">IFERROR(B12-C12,"")</f>
        <v>0</v>
      </c>
      <c r="E12" s="7"/>
      <c r="F12" s="7" t="str">
        <f aca="false">IFERROR((B12-B11)/B11,"")</f>
        <v/>
      </c>
      <c r="G12" s="5"/>
      <c r="H12" s="5"/>
      <c r="I12" s="5"/>
      <c r="J12" s="5"/>
      <c r="K12" s="5"/>
      <c r="L12" s="8"/>
    </row>
    <row r="13" customFormat="false" ht="16.5" hidden="false" customHeight="true" outlineLevel="0" collapsed="false">
      <c r="A13" s="9"/>
      <c r="B13" s="10"/>
      <c r="C13" s="10"/>
      <c r="D13" s="11" t="n">
        <f aca="false">IFERROR(B13-C13,"")</f>
        <v>0</v>
      </c>
      <c r="E13" s="12"/>
      <c r="F13" s="12" t="str">
        <f aca="false">IFERROR((B13-B12)/B12,"")</f>
        <v/>
      </c>
      <c r="G13" s="10"/>
      <c r="H13" s="10"/>
      <c r="I13" s="10"/>
      <c r="J13" s="10"/>
      <c r="K13" s="10"/>
      <c r="L13" s="13"/>
    </row>
    <row r="14" customFormat="false" ht="16.5" hidden="false" customHeight="true" outlineLevel="0" collapsed="false">
      <c r="A14" s="4"/>
      <c r="B14" s="5"/>
      <c r="C14" s="5"/>
      <c r="D14" s="6" t="n">
        <f aca="false">IFERROR(B14-C14,"")</f>
        <v>0</v>
      </c>
      <c r="E14" s="7"/>
      <c r="F14" s="7" t="str">
        <f aca="false">IFERROR((B14-B13)/B13,"")</f>
        <v/>
      </c>
      <c r="G14" s="5"/>
      <c r="H14" s="5"/>
      <c r="I14" s="5"/>
      <c r="J14" s="5"/>
      <c r="K14" s="5"/>
      <c r="L14" s="8"/>
    </row>
    <row r="15" customFormat="false" ht="16.5" hidden="false" customHeight="true" outlineLevel="0" collapsed="false">
      <c r="A15" s="9"/>
      <c r="B15" s="10"/>
      <c r="C15" s="10"/>
      <c r="D15" s="11" t="n">
        <f aca="false">IFERROR(B15-C15,"")</f>
        <v>0</v>
      </c>
      <c r="E15" s="12"/>
      <c r="F15" s="12" t="str">
        <f aca="false">IFERROR((B15-B14)/B14,"")</f>
        <v/>
      </c>
      <c r="G15" s="10"/>
      <c r="H15" s="10"/>
      <c r="I15" s="10"/>
      <c r="J15" s="10"/>
      <c r="K15" s="10"/>
      <c r="L15" s="13"/>
    </row>
    <row r="16" customFormat="false" ht="16.5" hidden="false" customHeight="true" outlineLevel="0" collapsed="false">
      <c r="A16" s="4"/>
      <c r="B16" s="5"/>
      <c r="C16" s="5"/>
      <c r="D16" s="6" t="n">
        <f aca="false">IFERROR(B16-C16,"")</f>
        <v>0</v>
      </c>
      <c r="E16" s="7" t="str">
        <f aca="false">IFERROR((B16-B4)/B4,"")</f>
        <v/>
      </c>
      <c r="F16" s="7" t="str">
        <f aca="false">IFERROR((B16-B15)/B15,"")</f>
        <v/>
      </c>
      <c r="G16" s="5"/>
      <c r="H16" s="5"/>
      <c r="I16" s="5"/>
      <c r="J16" s="5"/>
      <c r="K16" s="5"/>
      <c r="L16" s="8"/>
    </row>
    <row r="17" customFormat="false" ht="16.5" hidden="false" customHeight="true" outlineLevel="0" collapsed="false">
      <c r="A17" s="9"/>
      <c r="B17" s="10"/>
      <c r="C17" s="10"/>
      <c r="D17" s="11" t="n">
        <f aca="false">IFERROR(B17-C17,"")</f>
        <v>0</v>
      </c>
      <c r="E17" s="12" t="str">
        <f aca="false">IFERROR((B17-B5)/B5,"")</f>
        <v/>
      </c>
      <c r="F17" s="12" t="str">
        <f aca="false">IFERROR((B17-B16)/B16,"")</f>
        <v/>
      </c>
      <c r="G17" s="10"/>
      <c r="H17" s="10"/>
      <c r="I17" s="10"/>
      <c r="J17" s="10"/>
      <c r="K17" s="10"/>
      <c r="L17" s="13"/>
    </row>
    <row r="18" customFormat="false" ht="16.5" hidden="false" customHeight="true" outlineLevel="0" collapsed="false">
      <c r="A18" s="4"/>
      <c r="B18" s="5"/>
      <c r="C18" s="5"/>
      <c r="D18" s="6" t="n">
        <f aca="false">IFERROR(B18-C18,"")</f>
        <v>0</v>
      </c>
      <c r="E18" s="7" t="str">
        <f aca="false">IFERROR((B18-B6)/B6,"")</f>
        <v/>
      </c>
      <c r="F18" s="7" t="str">
        <f aca="false">IFERROR((B18-B17)/B17,"")</f>
        <v/>
      </c>
      <c r="G18" s="5"/>
      <c r="H18" s="5"/>
      <c r="I18" s="5"/>
      <c r="J18" s="5"/>
      <c r="K18" s="5"/>
      <c r="L18" s="8"/>
    </row>
    <row r="19" customFormat="false" ht="16.5" hidden="false" customHeight="true" outlineLevel="0" collapsed="false">
      <c r="A19" s="9"/>
      <c r="B19" s="10"/>
      <c r="C19" s="10"/>
      <c r="D19" s="11" t="n">
        <f aca="false">IFERROR(B19-C19,"")</f>
        <v>0</v>
      </c>
      <c r="E19" s="12" t="str">
        <f aca="false">IFERROR((B19-B7)/B7,"")</f>
        <v/>
      </c>
      <c r="F19" s="12" t="str">
        <f aca="false">IFERROR((B19-B18)/B18,"")</f>
        <v/>
      </c>
      <c r="G19" s="10"/>
      <c r="H19" s="10"/>
      <c r="I19" s="10"/>
      <c r="J19" s="10"/>
      <c r="K19" s="10"/>
      <c r="L19" s="13"/>
    </row>
    <row r="20" customFormat="false" ht="16.5" hidden="false" customHeight="true" outlineLevel="0" collapsed="false">
      <c r="A20" s="4"/>
      <c r="B20" s="5"/>
      <c r="C20" s="5"/>
      <c r="D20" s="6" t="n">
        <f aca="false">IFERROR(B20-C20,"")</f>
        <v>0</v>
      </c>
      <c r="E20" s="7" t="str">
        <f aca="false">IFERROR((B20-B8)/B8,"")</f>
        <v/>
      </c>
      <c r="F20" s="7" t="str">
        <f aca="false">IFERROR((B20-B19)/B19,"")</f>
        <v/>
      </c>
      <c r="G20" s="5"/>
      <c r="H20" s="5"/>
      <c r="I20" s="5"/>
      <c r="J20" s="5"/>
      <c r="K20" s="5"/>
      <c r="L20" s="8"/>
    </row>
    <row r="21" customFormat="false" ht="16.5" hidden="false" customHeight="true" outlineLevel="0" collapsed="false">
      <c r="A21" s="9"/>
      <c r="B21" s="10"/>
      <c r="C21" s="10"/>
      <c r="D21" s="11" t="n">
        <f aca="false">IFERROR(B21-C21,"")</f>
        <v>0</v>
      </c>
      <c r="E21" s="12" t="str">
        <f aca="false">IFERROR((B21-B9)/B9,"")</f>
        <v/>
      </c>
      <c r="F21" s="12" t="str">
        <f aca="false">IFERROR((B21-B20)/B20,"")</f>
        <v/>
      </c>
      <c r="G21" s="10"/>
      <c r="H21" s="10"/>
      <c r="I21" s="10"/>
      <c r="J21" s="10"/>
      <c r="K21" s="10"/>
      <c r="L21" s="13"/>
    </row>
    <row r="22" customFormat="false" ht="16.5" hidden="false" customHeight="true" outlineLevel="0" collapsed="false">
      <c r="A22" s="4"/>
      <c r="B22" s="5"/>
      <c r="C22" s="5"/>
      <c r="D22" s="6" t="n">
        <f aca="false">IFERROR(B22-C22,"")</f>
        <v>0</v>
      </c>
      <c r="E22" s="7" t="str">
        <f aca="false">IFERROR((B22-B10)/B10,"")</f>
        <v/>
      </c>
      <c r="F22" s="7" t="str">
        <f aca="false">IFERROR((B22-B21)/B21,"")</f>
        <v/>
      </c>
      <c r="G22" s="5"/>
      <c r="H22" s="5"/>
      <c r="I22" s="5"/>
      <c r="J22" s="5"/>
      <c r="K22" s="5"/>
      <c r="L22" s="8"/>
    </row>
    <row r="23" customFormat="false" ht="16.5" hidden="false" customHeight="true" outlineLevel="0" collapsed="false">
      <c r="A23" s="9"/>
      <c r="B23" s="10"/>
      <c r="C23" s="10"/>
      <c r="D23" s="11" t="n">
        <f aca="false">IFERROR(B23-C23,"")</f>
        <v>0</v>
      </c>
      <c r="E23" s="12" t="str">
        <f aca="false">IFERROR((B23-B11)/B11,"")</f>
        <v/>
      </c>
      <c r="F23" s="12" t="str">
        <f aca="false">IFERROR((B23-B22)/B22,"")</f>
        <v/>
      </c>
      <c r="G23" s="10"/>
      <c r="H23" s="10"/>
      <c r="I23" s="10"/>
      <c r="J23" s="10"/>
      <c r="K23" s="10"/>
      <c r="L23" s="13"/>
    </row>
    <row r="24" customFormat="false" ht="16.5" hidden="false" customHeight="true" outlineLevel="0" collapsed="false">
      <c r="A24" s="4"/>
      <c r="B24" s="5"/>
      <c r="C24" s="5"/>
      <c r="D24" s="6" t="n">
        <f aca="false">IFERROR(B24-C24,"")</f>
        <v>0</v>
      </c>
      <c r="E24" s="7" t="str">
        <f aca="false">IFERROR((B24-B12)/B12,"")</f>
        <v/>
      </c>
      <c r="F24" s="7" t="str">
        <f aca="false">IFERROR((B24-B23)/B23,"")</f>
        <v/>
      </c>
      <c r="G24" s="5"/>
      <c r="H24" s="5"/>
      <c r="I24" s="5"/>
      <c r="J24" s="5"/>
      <c r="K24" s="5"/>
      <c r="L24" s="8"/>
    </row>
    <row r="25" customFormat="false" ht="16.5" hidden="false" customHeight="true" outlineLevel="0" collapsed="false">
      <c r="A25" s="9"/>
      <c r="B25" s="10"/>
      <c r="C25" s="10"/>
      <c r="D25" s="11" t="n">
        <f aca="false">IFERROR(B25-C25,"")</f>
        <v>0</v>
      </c>
      <c r="E25" s="12" t="str">
        <f aca="false">IFERROR((B25-B13)/B13,"")</f>
        <v/>
      </c>
      <c r="F25" s="12" t="str">
        <f aca="false">IFERROR((B25-B24)/B24,"")</f>
        <v/>
      </c>
      <c r="G25" s="10"/>
      <c r="H25" s="10"/>
      <c r="I25" s="10"/>
      <c r="J25" s="10"/>
      <c r="K25" s="10"/>
      <c r="L25" s="13"/>
    </row>
    <row r="26" customFormat="false" ht="16.5" hidden="false" customHeight="true" outlineLevel="0" collapsed="false">
      <c r="A26" s="4"/>
      <c r="B26" s="5"/>
      <c r="C26" s="5"/>
      <c r="D26" s="6" t="n">
        <f aca="false">IFERROR(B26-C26,"")</f>
        <v>0</v>
      </c>
      <c r="E26" s="7" t="str">
        <f aca="false">IFERROR((B26-B14)/B14,"")</f>
        <v/>
      </c>
      <c r="F26" s="7" t="str">
        <f aca="false">IFERROR((B26-B25)/B25,"")</f>
        <v/>
      </c>
      <c r="G26" s="5"/>
      <c r="H26" s="5"/>
      <c r="I26" s="5"/>
      <c r="J26" s="5"/>
      <c r="K26" s="5"/>
      <c r="L26" s="8"/>
    </row>
    <row r="27" customFormat="false" ht="16.5" hidden="false" customHeight="true" outlineLevel="0" collapsed="false">
      <c r="A27" s="9"/>
      <c r="B27" s="10"/>
      <c r="C27" s="10"/>
      <c r="D27" s="11" t="n">
        <f aca="false">IFERROR(B27-C27,"")</f>
        <v>0</v>
      </c>
      <c r="E27" s="12" t="str">
        <f aca="false">IFERROR((B27-B15)/B15,"")</f>
        <v/>
      </c>
      <c r="F27" s="12" t="str">
        <f aca="false">IFERROR((B27-B26)/B26,"")</f>
        <v/>
      </c>
      <c r="G27" s="10"/>
      <c r="H27" s="10"/>
      <c r="I27" s="10"/>
      <c r="J27" s="10"/>
      <c r="K27" s="10"/>
      <c r="L27" s="13"/>
    </row>
    <row r="28" customFormat="false" ht="16.5" hidden="false" customHeight="true" outlineLevel="0" collapsed="false">
      <c r="A28" s="4"/>
      <c r="B28" s="5"/>
      <c r="C28" s="5"/>
      <c r="D28" s="6" t="n">
        <f aca="false">IFERROR(B28-C28,"")</f>
        <v>0</v>
      </c>
      <c r="E28" s="7" t="str">
        <f aca="false">IFERROR((B28-B16)/B16,"")</f>
        <v/>
      </c>
      <c r="F28" s="7" t="str">
        <f aca="false">IFERROR((B28-B27)/B27,"")</f>
        <v/>
      </c>
      <c r="G28" s="5"/>
      <c r="H28" s="5"/>
      <c r="I28" s="5"/>
      <c r="J28" s="5"/>
      <c r="K28" s="5"/>
      <c r="L28" s="8"/>
    </row>
    <row r="29" customFormat="false" ht="16.5" hidden="false" customHeight="true" outlineLevel="0" collapsed="false">
      <c r="A29" s="9"/>
      <c r="B29" s="10"/>
      <c r="C29" s="10"/>
      <c r="D29" s="11" t="n">
        <f aca="false">IFERROR(B29-C29,"")</f>
        <v>0</v>
      </c>
      <c r="E29" s="12" t="str">
        <f aca="false">IFERROR((B29-B17)/B17,"")</f>
        <v/>
      </c>
      <c r="F29" s="12" t="str">
        <f aca="false">IFERROR((B29-B28)/B28,"")</f>
        <v/>
      </c>
      <c r="G29" s="10"/>
      <c r="H29" s="10"/>
      <c r="I29" s="10"/>
      <c r="J29" s="10"/>
      <c r="K29" s="10"/>
      <c r="L29" s="13"/>
    </row>
    <row r="30" customFormat="false" ht="16.5" hidden="false" customHeight="true" outlineLevel="0" collapsed="false">
      <c r="A30" s="4"/>
      <c r="B30" s="5"/>
      <c r="C30" s="5"/>
      <c r="D30" s="6" t="n">
        <f aca="false">IFERROR(B30-C30,"")</f>
        <v>0</v>
      </c>
      <c r="E30" s="7" t="str">
        <f aca="false">IFERROR((B30-B18)/B18,"")</f>
        <v/>
      </c>
      <c r="F30" s="7" t="str">
        <f aca="false">IFERROR((B30-B29)/B29,"")</f>
        <v/>
      </c>
      <c r="G30" s="5"/>
      <c r="H30" s="5"/>
      <c r="I30" s="5"/>
      <c r="J30" s="5"/>
      <c r="K30" s="5"/>
      <c r="L30" s="8"/>
    </row>
    <row r="31" customFormat="false" ht="16.5" hidden="false" customHeight="true" outlineLevel="0" collapsed="false">
      <c r="A31" s="9"/>
      <c r="B31" s="10"/>
      <c r="C31" s="10"/>
      <c r="D31" s="11" t="n">
        <f aca="false">IFERROR(B31-C31,"")</f>
        <v>0</v>
      </c>
      <c r="E31" s="12" t="str">
        <f aca="false">IFERROR((B31-B19)/B19,"")</f>
        <v/>
      </c>
      <c r="F31" s="12" t="str">
        <f aca="false">IFERROR((B31-B30)/B30,"")</f>
        <v/>
      </c>
      <c r="G31" s="10"/>
      <c r="H31" s="10"/>
      <c r="I31" s="10"/>
      <c r="J31" s="10"/>
      <c r="K31" s="10"/>
      <c r="L31" s="13"/>
    </row>
    <row r="32" customFormat="false" ht="16.5" hidden="false" customHeight="true" outlineLevel="0" collapsed="false">
      <c r="A32" s="4"/>
      <c r="B32" s="5"/>
      <c r="C32" s="5"/>
      <c r="D32" s="6" t="n">
        <f aca="false">IFERROR(B32-C32,"")</f>
        <v>0</v>
      </c>
      <c r="E32" s="7" t="str">
        <f aca="false">IFERROR((B32-B20)/B20,"")</f>
        <v/>
      </c>
      <c r="F32" s="7" t="str">
        <f aca="false">IFERROR((B32-B31)/B31,"")</f>
        <v/>
      </c>
      <c r="G32" s="5"/>
      <c r="H32" s="5"/>
      <c r="I32" s="5"/>
      <c r="J32" s="5"/>
      <c r="K32" s="5"/>
      <c r="L32" s="8"/>
    </row>
    <row r="33" customFormat="false" ht="16.5" hidden="false" customHeight="true" outlineLevel="0" collapsed="false">
      <c r="A33" s="9"/>
      <c r="B33" s="10"/>
      <c r="C33" s="10"/>
      <c r="D33" s="11" t="n">
        <f aca="false">IFERROR(B33-C33,"")</f>
        <v>0</v>
      </c>
      <c r="E33" s="12" t="str">
        <f aca="false">IFERROR((B33-B21)/B21,"")</f>
        <v/>
      </c>
      <c r="F33" s="12" t="str">
        <f aca="false">IFERROR((B33-B32)/B32,"")</f>
        <v/>
      </c>
      <c r="G33" s="10"/>
      <c r="H33" s="10"/>
      <c r="I33" s="10"/>
      <c r="J33" s="10"/>
      <c r="K33" s="10"/>
      <c r="L33" s="13"/>
    </row>
    <row r="34" customFormat="false" ht="16.5" hidden="false" customHeight="true" outlineLevel="0" collapsed="false">
      <c r="A34" s="4"/>
      <c r="B34" s="5"/>
      <c r="C34" s="5"/>
      <c r="D34" s="6" t="n">
        <f aca="false">IFERROR(B34-C34,"")</f>
        <v>0</v>
      </c>
      <c r="E34" s="7" t="str">
        <f aca="false">IFERROR((B34-B22)/B22,"")</f>
        <v/>
      </c>
      <c r="F34" s="7" t="str">
        <f aca="false">IFERROR((B34-B33)/B33,"")</f>
        <v/>
      </c>
      <c r="G34" s="5"/>
      <c r="H34" s="5"/>
      <c r="I34" s="5"/>
      <c r="J34" s="5"/>
      <c r="K34" s="5"/>
      <c r="L34" s="8"/>
    </row>
    <row r="35" customFormat="false" ht="16.5" hidden="false" customHeight="true" outlineLevel="0" collapsed="false">
      <c r="A35" s="9"/>
      <c r="B35" s="10"/>
      <c r="C35" s="10"/>
      <c r="D35" s="11" t="n">
        <f aca="false">IFERROR(B35-C35,"")</f>
        <v>0</v>
      </c>
      <c r="E35" s="12" t="str">
        <f aca="false">IFERROR((B35-B23)/B23,"")</f>
        <v/>
      </c>
      <c r="F35" s="12" t="str">
        <f aca="false">IFERROR((B35-B34)/B34,"")</f>
        <v/>
      </c>
      <c r="G35" s="10"/>
      <c r="H35" s="10"/>
      <c r="I35" s="10"/>
      <c r="J35" s="10"/>
      <c r="K35" s="10"/>
      <c r="L35" s="13"/>
    </row>
    <row r="36" customFormat="false" ht="16.5" hidden="false" customHeight="true" outlineLevel="0" collapsed="false">
      <c r="A36" s="4"/>
      <c r="B36" s="5"/>
      <c r="C36" s="5"/>
      <c r="D36" s="6" t="n">
        <f aca="false">IFERROR(B36-C36,"")</f>
        <v>0</v>
      </c>
      <c r="E36" s="7" t="str">
        <f aca="false">IFERROR((B36-B24)/B24,"")</f>
        <v/>
      </c>
      <c r="F36" s="7" t="str">
        <f aca="false">IFERROR((B36-B35)/B35,"")</f>
        <v/>
      </c>
      <c r="G36" s="5"/>
      <c r="H36" s="5"/>
      <c r="I36" s="5"/>
      <c r="J36" s="5"/>
      <c r="K36" s="5"/>
      <c r="L36" s="8"/>
    </row>
    <row r="37" customFormat="false" ht="16.5" hidden="false" customHeight="true" outlineLevel="0" collapsed="false">
      <c r="A37" s="9"/>
      <c r="B37" s="10"/>
      <c r="C37" s="10"/>
      <c r="D37" s="11" t="n">
        <f aca="false">IFERROR(B37-C37,"")</f>
        <v>0</v>
      </c>
      <c r="E37" s="12" t="str">
        <f aca="false">IFERROR((B37-B25)/B25,"")</f>
        <v/>
      </c>
      <c r="F37" s="12" t="str">
        <f aca="false">IFERROR((B37-B36)/B36,"")</f>
        <v/>
      </c>
      <c r="G37" s="10"/>
      <c r="H37" s="10"/>
      <c r="I37" s="10"/>
      <c r="J37" s="10"/>
      <c r="K37" s="10"/>
      <c r="L37" s="13"/>
    </row>
    <row r="38" customFormat="false" ht="16.5" hidden="false" customHeight="true" outlineLevel="0" collapsed="false">
      <c r="A38" s="4"/>
      <c r="B38" s="5"/>
      <c r="C38" s="5"/>
      <c r="D38" s="6" t="n">
        <f aca="false">IFERROR(B38-C38,"")</f>
        <v>0</v>
      </c>
      <c r="E38" s="7" t="str">
        <f aca="false">IFERROR((B38-B26)/B26,"")</f>
        <v/>
      </c>
      <c r="F38" s="7" t="str">
        <f aca="false">IFERROR((B38-B37)/B37,"")</f>
        <v/>
      </c>
      <c r="G38" s="5"/>
      <c r="H38" s="5"/>
      <c r="I38" s="5"/>
      <c r="J38" s="5"/>
      <c r="K38" s="5"/>
      <c r="L38" s="8"/>
    </row>
    <row r="39" customFormat="false" ht="16.5" hidden="false" customHeight="true" outlineLevel="0" collapsed="false">
      <c r="A39" s="9"/>
      <c r="B39" s="10"/>
      <c r="C39" s="10"/>
      <c r="D39" s="11" t="n">
        <f aca="false">IFERROR(B39-C39,"")</f>
        <v>0</v>
      </c>
      <c r="E39" s="12" t="str">
        <f aca="false">IFERROR((B39-B27)/B27,"")</f>
        <v/>
      </c>
      <c r="F39" s="12" t="str">
        <f aca="false">IFERROR((B39-B38)/B38,"")</f>
        <v/>
      </c>
      <c r="G39" s="10"/>
      <c r="H39" s="10"/>
      <c r="I39" s="10"/>
      <c r="J39" s="10"/>
      <c r="K39" s="10"/>
      <c r="L39" s="13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2026-02-24T01:09:07Z</dcterms:created>
  <dc:creator>openpyxl</dc:creator>
  <dc:description/>
  <dc:language>en-US</dc:language>
  <cp:lastModifiedBy/>
  <dcterms:modified xsi:type="dcterms:W3CDTF">2026-02-24T01:09:07Z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